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:\First_Capture\analyse\"/>
    </mc:Choice>
  </mc:AlternateContent>
  <xr:revisionPtr revIDLastSave="0" documentId="13_ncr:1_{50685F39-1D56-4A41-A6A1-B37F35DEAB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92" i="1" l="1"/>
  <c r="G192" i="1"/>
  <c r="D192" i="1"/>
  <c r="P191" i="1"/>
  <c r="G191" i="1"/>
  <c r="D191" i="1"/>
  <c r="P190" i="1"/>
  <c r="G190" i="1"/>
  <c r="D190" i="1"/>
  <c r="P189" i="1"/>
  <c r="G189" i="1"/>
  <c r="D189" i="1"/>
  <c r="P188" i="1"/>
  <c r="G188" i="1"/>
  <c r="D188" i="1"/>
  <c r="P187" i="1"/>
  <c r="G187" i="1"/>
  <c r="D187" i="1"/>
  <c r="P186" i="1"/>
  <c r="G186" i="1"/>
  <c r="D186" i="1"/>
  <c r="P185" i="1"/>
  <c r="G185" i="1"/>
  <c r="D185" i="1"/>
  <c r="P184" i="1"/>
  <c r="G184" i="1"/>
  <c r="D184" i="1"/>
  <c r="P183" i="1"/>
  <c r="G183" i="1"/>
  <c r="D183" i="1"/>
  <c r="P182" i="1"/>
  <c r="G182" i="1"/>
  <c r="D182" i="1"/>
  <c r="P181" i="1"/>
  <c r="G181" i="1"/>
  <c r="D181" i="1"/>
  <c r="P180" i="1"/>
  <c r="G180" i="1"/>
  <c r="D180" i="1"/>
  <c r="P179" i="1"/>
  <c r="G179" i="1"/>
  <c r="D179" i="1"/>
  <c r="P178" i="1"/>
  <c r="G178" i="1"/>
  <c r="D178" i="1"/>
  <c r="P177" i="1"/>
  <c r="G177" i="1"/>
  <c r="D177" i="1"/>
  <c r="P176" i="1"/>
  <c r="G176" i="1"/>
  <c r="D176" i="1"/>
  <c r="P175" i="1"/>
  <c r="G175" i="1"/>
  <c r="D175" i="1"/>
  <c r="P174" i="1"/>
  <c r="G174" i="1"/>
  <c r="D174" i="1"/>
  <c r="P173" i="1"/>
  <c r="G173" i="1"/>
  <c r="D173" i="1"/>
  <c r="P172" i="1"/>
  <c r="G172" i="1"/>
  <c r="D172" i="1"/>
  <c r="P171" i="1"/>
  <c r="G171" i="1"/>
  <c r="D171" i="1"/>
  <c r="P170" i="1"/>
  <c r="G170" i="1"/>
  <c r="D170" i="1"/>
  <c r="P169" i="1"/>
  <c r="G169" i="1"/>
  <c r="D169" i="1"/>
  <c r="P168" i="1"/>
  <c r="G168" i="1"/>
  <c r="D168" i="1"/>
  <c r="P167" i="1"/>
  <c r="G167" i="1"/>
  <c r="D167" i="1"/>
  <c r="P166" i="1"/>
  <c r="G166" i="1"/>
  <c r="D166" i="1"/>
  <c r="P165" i="1"/>
  <c r="G165" i="1"/>
  <c r="D165" i="1"/>
  <c r="P164" i="1"/>
  <c r="G164" i="1"/>
  <c r="D164" i="1"/>
  <c r="P163" i="1"/>
  <c r="G163" i="1"/>
  <c r="D163" i="1"/>
  <c r="P162" i="1"/>
  <c r="G162" i="1"/>
  <c r="D162" i="1"/>
  <c r="P161" i="1"/>
  <c r="G161" i="1"/>
  <c r="D161" i="1"/>
  <c r="P160" i="1"/>
  <c r="G160" i="1"/>
  <c r="D160" i="1"/>
  <c r="P159" i="1"/>
  <c r="G159" i="1"/>
  <c r="D159" i="1"/>
  <c r="P158" i="1"/>
  <c r="G158" i="1"/>
  <c r="D158" i="1"/>
  <c r="P157" i="1"/>
  <c r="G157" i="1"/>
  <c r="D157" i="1"/>
  <c r="P156" i="1"/>
  <c r="G156" i="1"/>
  <c r="D156" i="1"/>
  <c r="P155" i="1"/>
  <c r="G155" i="1"/>
  <c r="D155" i="1"/>
  <c r="P154" i="1"/>
  <c r="G154" i="1"/>
  <c r="D154" i="1"/>
  <c r="P153" i="1"/>
  <c r="G153" i="1"/>
  <c r="D153" i="1"/>
  <c r="P152" i="1"/>
  <c r="G152" i="1"/>
  <c r="D152" i="1"/>
  <c r="P151" i="1"/>
  <c r="G151" i="1"/>
  <c r="D151" i="1"/>
  <c r="P150" i="1"/>
  <c r="G150" i="1"/>
  <c r="D150" i="1"/>
  <c r="P149" i="1"/>
  <c r="G149" i="1"/>
  <c r="D149" i="1"/>
  <c r="P148" i="1"/>
  <c r="G148" i="1"/>
  <c r="D148" i="1"/>
  <c r="P147" i="1"/>
  <c r="G147" i="1"/>
  <c r="D147" i="1"/>
  <c r="P146" i="1"/>
  <c r="G146" i="1"/>
  <c r="D146" i="1"/>
  <c r="P145" i="1"/>
  <c r="G145" i="1"/>
  <c r="D145" i="1"/>
  <c r="P144" i="1"/>
  <c r="G144" i="1"/>
  <c r="D144" i="1"/>
  <c r="P143" i="1"/>
  <c r="G143" i="1"/>
  <c r="D143" i="1"/>
  <c r="P142" i="1"/>
  <c r="G142" i="1"/>
  <c r="D142" i="1"/>
  <c r="P141" i="1"/>
  <c r="G141" i="1"/>
  <c r="D141" i="1"/>
  <c r="P140" i="1"/>
  <c r="G140" i="1"/>
  <c r="D140" i="1"/>
  <c r="P139" i="1"/>
  <c r="G139" i="1"/>
  <c r="D139" i="1"/>
  <c r="P138" i="1"/>
  <c r="G138" i="1"/>
  <c r="D138" i="1"/>
  <c r="P137" i="1"/>
  <c r="G137" i="1"/>
  <c r="D137" i="1"/>
  <c r="P136" i="1"/>
  <c r="G136" i="1"/>
  <c r="D136" i="1"/>
  <c r="P135" i="1"/>
  <c r="G135" i="1"/>
  <c r="D135" i="1"/>
  <c r="P134" i="1"/>
  <c r="G134" i="1"/>
  <c r="D134" i="1"/>
  <c r="P133" i="1"/>
  <c r="G133" i="1"/>
  <c r="D133" i="1"/>
  <c r="P132" i="1"/>
  <c r="G132" i="1"/>
  <c r="D132" i="1"/>
  <c r="P131" i="1"/>
  <c r="G131" i="1"/>
  <c r="D131" i="1"/>
  <c r="P130" i="1"/>
  <c r="G130" i="1"/>
  <c r="D130" i="1"/>
  <c r="P129" i="1"/>
  <c r="G129" i="1"/>
  <c r="D129" i="1"/>
  <c r="P128" i="1"/>
  <c r="G128" i="1"/>
  <c r="D128" i="1"/>
  <c r="P127" i="1"/>
  <c r="G127" i="1"/>
  <c r="D127" i="1"/>
  <c r="P126" i="1"/>
  <c r="G126" i="1"/>
  <c r="D126" i="1"/>
  <c r="P125" i="1"/>
  <c r="G125" i="1"/>
  <c r="D125" i="1"/>
  <c r="P124" i="1"/>
  <c r="G124" i="1"/>
  <c r="D124" i="1"/>
  <c r="P123" i="1"/>
  <c r="G123" i="1"/>
  <c r="D123" i="1"/>
  <c r="P122" i="1"/>
  <c r="G122" i="1"/>
  <c r="D122" i="1"/>
  <c r="P121" i="1"/>
  <c r="G121" i="1"/>
  <c r="D121" i="1"/>
  <c r="P120" i="1"/>
  <c r="G120" i="1"/>
  <c r="D120" i="1"/>
  <c r="P119" i="1"/>
  <c r="G119" i="1"/>
  <c r="D119" i="1"/>
  <c r="P118" i="1"/>
  <c r="G118" i="1"/>
  <c r="D118" i="1"/>
  <c r="P117" i="1"/>
  <c r="G117" i="1"/>
  <c r="D117" i="1"/>
  <c r="P116" i="1"/>
  <c r="G116" i="1"/>
  <c r="D116" i="1"/>
  <c r="P115" i="1"/>
  <c r="G115" i="1"/>
  <c r="D115" i="1"/>
  <c r="P114" i="1"/>
  <c r="G114" i="1"/>
  <c r="D114" i="1"/>
  <c r="P113" i="1"/>
  <c r="G113" i="1"/>
  <c r="D113" i="1"/>
  <c r="P112" i="1"/>
  <c r="G112" i="1"/>
  <c r="D112" i="1"/>
  <c r="P111" i="1"/>
  <c r="G111" i="1"/>
  <c r="D111" i="1"/>
  <c r="P110" i="1"/>
  <c r="G110" i="1"/>
  <c r="D110" i="1"/>
  <c r="P109" i="1"/>
  <c r="G109" i="1"/>
  <c r="D109" i="1"/>
  <c r="P108" i="1"/>
  <c r="G108" i="1"/>
  <c r="D108" i="1"/>
  <c r="P107" i="1"/>
  <c r="G107" i="1"/>
  <c r="D107" i="1"/>
  <c r="P106" i="1"/>
  <c r="G106" i="1"/>
  <c r="D106" i="1"/>
  <c r="P105" i="1"/>
  <c r="G105" i="1"/>
  <c r="D105" i="1"/>
  <c r="P104" i="1"/>
  <c r="G104" i="1"/>
  <c r="D104" i="1"/>
  <c r="P103" i="1"/>
  <c r="G103" i="1"/>
  <c r="D103" i="1"/>
  <c r="P102" i="1"/>
  <c r="G102" i="1"/>
  <c r="D102" i="1"/>
  <c r="P101" i="1"/>
  <c r="G101" i="1"/>
  <c r="D101" i="1"/>
  <c r="P100" i="1"/>
  <c r="G100" i="1"/>
  <c r="D100" i="1"/>
  <c r="P99" i="1"/>
  <c r="G99" i="1"/>
  <c r="D99" i="1"/>
  <c r="P98" i="1"/>
  <c r="G98" i="1"/>
  <c r="D98" i="1"/>
  <c r="P97" i="1"/>
  <c r="G97" i="1"/>
  <c r="D97" i="1"/>
  <c r="P96" i="1"/>
  <c r="G96" i="1"/>
  <c r="D96" i="1"/>
  <c r="P95" i="1"/>
  <c r="G95" i="1"/>
  <c r="D95" i="1"/>
  <c r="P94" i="1"/>
  <c r="G94" i="1"/>
  <c r="D94" i="1"/>
  <c r="P93" i="1"/>
  <c r="G93" i="1"/>
  <c r="D93" i="1"/>
  <c r="P92" i="1"/>
  <c r="G92" i="1"/>
  <c r="D92" i="1"/>
  <c r="P91" i="1"/>
  <c r="G91" i="1"/>
  <c r="D91" i="1"/>
  <c r="P90" i="1"/>
  <c r="G90" i="1"/>
  <c r="D90" i="1"/>
  <c r="P89" i="1"/>
  <c r="G89" i="1"/>
  <c r="D89" i="1"/>
  <c r="P88" i="1"/>
  <c r="G88" i="1"/>
  <c r="D88" i="1"/>
  <c r="P87" i="1"/>
  <c r="G87" i="1"/>
  <c r="D87" i="1"/>
  <c r="P86" i="1"/>
  <c r="G86" i="1"/>
  <c r="D86" i="1"/>
  <c r="P85" i="1"/>
  <c r="G85" i="1"/>
  <c r="D85" i="1"/>
  <c r="P84" i="1"/>
  <c r="G84" i="1"/>
  <c r="D84" i="1"/>
  <c r="P83" i="1"/>
  <c r="G83" i="1"/>
  <c r="D83" i="1"/>
  <c r="P82" i="1"/>
  <c r="G82" i="1"/>
  <c r="D82" i="1"/>
  <c r="P81" i="1"/>
  <c r="G81" i="1"/>
  <c r="D81" i="1"/>
  <c r="P80" i="1"/>
  <c r="G80" i="1"/>
  <c r="D80" i="1"/>
  <c r="P79" i="1"/>
  <c r="G79" i="1"/>
  <c r="D79" i="1"/>
  <c r="P78" i="1"/>
  <c r="G78" i="1"/>
  <c r="D78" i="1"/>
  <c r="P77" i="1"/>
  <c r="G77" i="1"/>
  <c r="D77" i="1"/>
  <c r="P76" i="1"/>
  <c r="G76" i="1"/>
  <c r="D76" i="1"/>
  <c r="P75" i="1"/>
  <c r="G75" i="1"/>
  <c r="D75" i="1"/>
  <c r="P74" i="1"/>
  <c r="G74" i="1"/>
  <c r="D74" i="1"/>
  <c r="P73" i="1"/>
  <c r="G73" i="1"/>
  <c r="D73" i="1"/>
  <c r="P72" i="1"/>
  <c r="G72" i="1"/>
  <c r="D72" i="1"/>
  <c r="P71" i="1"/>
  <c r="G71" i="1"/>
  <c r="D71" i="1"/>
  <c r="P70" i="1"/>
  <c r="G70" i="1"/>
  <c r="D70" i="1"/>
  <c r="P69" i="1"/>
  <c r="G69" i="1"/>
  <c r="D69" i="1"/>
  <c r="P68" i="1"/>
  <c r="G68" i="1"/>
  <c r="D68" i="1"/>
  <c r="P67" i="1"/>
  <c r="G67" i="1"/>
  <c r="D67" i="1"/>
  <c r="P66" i="1"/>
  <c r="G66" i="1"/>
  <c r="D66" i="1"/>
  <c r="P65" i="1"/>
  <c r="G65" i="1"/>
  <c r="D65" i="1"/>
  <c r="P64" i="1"/>
  <c r="G64" i="1"/>
  <c r="D64" i="1"/>
  <c r="P63" i="1"/>
  <c r="G63" i="1"/>
  <c r="D63" i="1"/>
  <c r="P62" i="1"/>
  <c r="G62" i="1"/>
  <c r="D62" i="1"/>
  <c r="P61" i="1"/>
  <c r="G61" i="1"/>
  <c r="D61" i="1"/>
  <c r="P60" i="1"/>
  <c r="G60" i="1"/>
  <c r="D60" i="1"/>
  <c r="P59" i="1"/>
  <c r="G59" i="1"/>
  <c r="D59" i="1"/>
  <c r="P58" i="1"/>
  <c r="G58" i="1"/>
  <c r="D58" i="1"/>
  <c r="P57" i="1"/>
  <c r="G57" i="1"/>
  <c r="D57" i="1"/>
  <c r="P56" i="1"/>
  <c r="G56" i="1"/>
  <c r="D56" i="1"/>
  <c r="P55" i="1"/>
  <c r="G55" i="1"/>
  <c r="D55" i="1"/>
  <c r="P54" i="1"/>
  <c r="G54" i="1"/>
  <c r="D54" i="1"/>
  <c r="P53" i="1"/>
  <c r="G53" i="1"/>
  <c r="D53" i="1"/>
  <c r="P52" i="1"/>
  <c r="G52" i="1"/>
  <c r="D52" i="1"/>
  <c r="P51" i="1"/>
  <c r="G51" i="1"/>
  <c r="D51" i="1"/>
  <c r="P50" i="1"/>
  <c r="G50" i="1"/>
  <c r="D50" i="1"/>
  <c r="P49" i="1"/>
  <c r="G49" i="1"/>
  <c r="D49" i="1"/>
  <c r="P48" i="1"/>
  <c r="G48" i="1"/>
  <c r="D48" i="1"/>
  <c r="P47" i="1"/>
  <c r="G47" i="1"/>
  <c r="D47" i="1"/>
  <c r="P46" i="1"/>
  <c r="G46" i="1"/>
  <c r="D46" i="1"/>
  <c r="P45" i="1"/>
  <c r="G45" i="1"/>
  <c r="D45" i="1"/>
  <c r="P44" i="1"/>
  <c r="G44" i="1"/>
  <c r="D44" i="1"/>
  <c r="P43" i="1"/>
  <c r="G43" i="1"/>
  <c r="D43" i="1"/>
  <c r="P42" i="1"/>
  <c r="G42" i="1"/>
  <c r="D42" i="1"/>
  <c r="P41" i="1"/>
  <c r="G41" i="1"/>
  <c r="D41" i="1"/>
  <c r="P40" i="1"/>
  <c r="G40" i="1"/>
  <c r="D40" i="1"/>
  <c r="P39" i="1"/>
  <c r="G39" i="1"/>
  <c r="D39" i="1"/>
  <c r="P38" i="1"/>
  <c r="G38" i="1"/>
  <c r="D38" i="1"/>
  <c r="P37" i="1"/>
  <c r="G37" i="1"/>
  <c r="D37" i="1"/>
  <c r="P36" i="1"/>
  <c r="G36" i="1"/>
  <c r="D36" i="1"/>
  <c r="P35" i="1"/>
  <c r="G35" i="1"/>
  <c r="D35" i="1"/>
  <c r="P34" i="1"/>
  <c r="G34" i="1"/>
  <c r="D34" i="1"/>
  <c r="P33" i="1"/>
  <c r="G33" i="1"/>
  <c r="D33" i="1"/>
  <c r="P32" i="1"/>
  <c r="G32" i="1"/>
  <c r="D32" i="1"/>
  <c r="P31" i="1"/>
  <c r="G31" i="1"/>
  <c r="D31" i="1"/>
  <c r="P30" i="1"/>
  <c r="G30" i="1"/>
  <c r="D30" i="1"/>
  <c r="P29" i="1"/>
  <c r="G29" i="1"/>
  <c r="D29" i="1"/>
  <c r="P28" i="1"/>
  <c r="G28" i="1"/>
  <c r="D28" i="1"/>
  <c r="P27" i="1"/>
  <c r="G27" i="1"/>
  <c r="D27" i="1"/>
  <c r="P26" i="1"/>
  <c r="G26" i="1"/>
  <c r="D26" i="1"/>
  <c r="P25" i="1"/>
  <c r="G25" i="1"/>
  <c r="D25" i="1"/>
  <c r="P24" i="1"/>
  <c r="G24" i="1"/>
  <c r="D24" i="1"/>
  <c r="P23" i="1"/>
  <c r="G23" i="1"/>
  <c r="D23" i="1"/>
  <c r="P22" i="1"/>
  <c r="G22" i="1"/>
  <c r="D22" i="1"/>
  <c r="P21" i="1"/>
  <c r="G21" i="1"/>
  <c r="D21" i="1"/>
  <c r="P20" i="1"/>
  <c r="G20" i="1"/>
  <c r="D20" i="1"/>
  <c r="P19" i="1"/>
  <c r="G19" i="1"/>
  <c r="D19" i="1"/>
  <c r="P18" i="1"/>
  <c r="G18" i="1"/>
  <c r="D18" i="1"/>
  <c r="P17" i="1"/>
  <c r="G17" i="1"/>
  <c r="D17" i="1"/>
  <c r="P16" i="1"/>
  <c r="G16" i="1"/>
  <c r="D16" i="1"/>
  <c r="P15" i="1"/>
  <c r="G15" i="1"/>
  <c r="D15" i="1"/>
  <c r="P14" i="1"/>
  <c r="G14" i="1"/>
  <c r="D14" i="1"/>
  <c r="P13" i="1"/>
  <c r="G13" i="1"/>
  <c r="D13" i="1"/>
  <c r="P12" i="1"/>
  <c r="G12" i="1"/>
  <c r="D12" i="1"/>
  <c r="P11" i="1"/>
  <c r="G11" i="1"/>
  <c r="D11" i="1"/>
  <c r="P10" i="1"/>
  <c r="G10" i="1"/>
  <c r="D10" i="1"/>
  <c r="P9" i="1"/>
  <c r="G9" i="1"/>
  <c r="D9" i="1"/>
  <c r="P8" i="1"/>
  <c r="G8" i="1"/>
  <c r="D8" i="1"/>
  <c r="P7" i="1"/>
  <c r="G7" i="1"/>
  <c r="D7" i="1"/>
  <c r="P6" i="1"/>
  <c r="G6" i="1"/>
  <c r="D6" i="1"/>
  <c r="P5" i="1"/>
  <c r="G5" i="1"/>
  <c r="D5" i="1"/>
  <c r="P4" i="1"/>
  <c r="G4" i="1"/>
  <c r="D4" i="1"/>
  <c r="P3" i="1"/>
  <c r="G3" i="1"/>
  <c r="D3" i="1"/>
  <c r="P2" i="1"/>
  <c r="G2" i="1"/>
  <c r="D2" i="1"/>
</calcChain>
</file>

<file path=xl/sharedStrings.xml><?xml version="1.0" encoding="utf-8"?>
<sst xmlns="http://schemas.openxmlformats.org/spreadsheetml/2006/main" count="1217" uniqueCount="242">
  <si>
    <t>video_name</t>
  </si>
  <si>
    <t>num</t>
  </si>
  <si>
    <t>scale_px_15cm</t>
  </si>
  <si>
    <t>scale_1px_mm</t>
  </si>
  <si>
    <t>date_of_filming</t>
  </si>
  <si>
    <t>date_of_spawn(+-12h)</t>
  </si>
  <si>
    <t>nb_day_indiv</t>
  </si>
  <si>
    <t>Resolution</t>
  </si>
  <si>
    <t>Fps</t>
  </si>
  <si>
    <t>duration</t>
  </si>
  <si>
    <t>Start</t>
  </si>
  <si>
    <t>End</t>
  </si>
  <si>
    <t>New_duration</t>
  </si>
  <si>
    <t>Total_Frame_nb</t>
  </si>
  <si>
    <t>Catch_frame_nb</t>
  </si>
  <si>
    <t>retrain</t>
  </si>
  <si>
    <t>comment</t>
  </si>
  <si>
    <t>video1.mp4</t>
  </si>
  <si>
    <t>1920 x 1080</t>
  </si>
  <si>
    <t>Direct</t>
  </si>
  <si>
    <t>yes</t>
  </si>
  <si>
    <t>apex debut</t>
  </si>
  <si>
    <t>video2.mp4</t>
  </si>
  <si>
    <t>Catch</t>
  </si>
  <si>
    <t>no</t>
  </si>
  <si>
    <t>video3.mp4</t>
  </si>
  <si>
    <t>video4.mp4</t>
  </si>
  <si>
    <t>video5.mp4</t>
  </si>
  <si>
    <t>Circumvention</t>
  </si>
  <si>
    <t>video6.mp4</t>
  </si>
  <si>
    <t>video7.mp4</t>
  </si>
  <si>
    <t>video9.mp4</t>
  </si>
  <si>
    <t>video10.mp4</t>
  </si>
  <si>
    <t>video11.mp4</t>
  </si>
  <si>
    <t>Movement</t>
  </si>
  <si>
    <t>video12.mp4</t>
  </si>
  <si>
    <t>video13.mp4</t>
  </si>
  <si>
    <t>video14.mp4</t>
  </si>
  <si>
    <t>video15.mp4</t>
  </si>
  <si>
    <t>video16.mp4</t>
  </si>
  <si>
    <t>video17.mp4</t>
  </si>
  <si>
    <t>video18.mp4</t>
  </si>
  <si>
    <t>video19.mp4</t>
  </si>
  <si>
    <t>Orienting</t>
  </si>
  <si>
    <t>video20.mp4</t>
  </si>
  <si>
    <t>eye tracking</t>
  </si>
  <si>
    <t>video21.mp4</t>
  </si>
  <si>
    <t>video22.mp4</t>
  </si>
  <si>
    <t>arm50s</t>
  </si>
  <si>
    <t>video23.mp4</t>
  </si>
  <si>
    <t>video24.mp4</t>
  </si>
  <si>
    <t>video25.mp4</t>
  </si>
  <si>
    <t>video27.mp4</t>
  </si>
  <si>
    <t>video28.mp4</t>
  </si>
  <si>
    <t>video29.mp4</t>
  </si>
  <si>
    <t>eyetraking</t>
  </si>
  <si>
    <t>video30.mp4</t>
  </si>
  <si>
    <t>video31.mp4</t>
  </si>
  <si>
    <t>video32.mp4</t>
  </si>
  <si>
    <t>video33.mp4</t>
  </si>
  <si>
    <t>video34.mp4</t>
  </si>
  <si>
    <t>video35.mp4</t>
  </si>
  <si>
    <t>video36.mp4</t>
  </si>
  <si>
    <t>video37.mp4</t>
  </si>
  <si>
    <t>video38.mp4</t>
  </si>
  <si>
    <t>video39.mp4</t>
  </si>
  <si>
    <t>video41.mp4</t>
  </si>
  <si>
    <t>video42.mp4</t>
  </si>
  <si>
    <t>video43.mp4</t>
  </si>
  <si>
    <t>video44.mp4</t>
  </si>
  <si>
    <t>video45.mp4</t>
  </si>
  <si>
    <t>video46.mp4</t>
  </si>
  <si>
    <t>video47.mp4</t>
  </si>
  <si>
    <t>video48.mp4</t>
  </si>
  <si>
    <t>video49.mp4</t>
  </si>
  <si>
    <t>bras / multi essai</t>
  </si>
  <si>
    <t>video50.mp4</t>
  </si>
  <si>
    <t>video51.mp4</t>
  </si>
  <si>
    <t>video52.mp4</t>
  </si>
  <si>
    <t>bras</t>
  </si>
  <si>
    <t>video54.mp4</t>
  </si>
  <si>
    <t>video55.mp4</t>
  </si>
  <si>
    <t>video56.mp4</t>
  </si>
  <si>
    <t>video57.mp4</t>
  </si>
  <si>
    <t>video58.mp4</t>
  </si>
  <si>
    <t>video59.mp4</t>
  </si>
  <si>
    <t>video60.mp4</t>
  </si>
  <si>
    <t>video61.mp4</t>
  </si>
  <si>
    <t>video62.mp4</t>
  </si>
  <si>
    <t>video63.mp4</t>
  </si>
  <si>
    <t>video64.mp4</t>
  </si>
  <si>
    <t>video65.mp4</t>
  </si>
  <si>
    <t>video66.mp4</t>
  </si>
  <si>
    <t>prey miss match on an algea</t>
  </si>
  <si>
    <t>video67.mp4</t>
  </si>
  <si>
    <t>video68.mp4</t>
  </si>
  <si>
    <t>video69.mp4</t>
  </si>
  <si>
    <t>video70.mp4</t>
  </si>
  <si>
    <t>video71.mp4</t>
  </si>
  <si>
    <t>video72.mp4</t>
  </si>
  <si>
    <t>video73.mp4</t>
  </si>
  <si>
    <t>video74.mp4</t>
  </si>
  <si>
    <t>video75.mp4</t>
  </si>
  <si>
    <t>video76.mp4</t>
  </si>
  <si>
    <t>video77.mp4</t>
  </si>
  <si>
    <t>video78.mp4</t>
  </si>
  <si>
    <t>video79.mp4</t>
  </si>
  <si>
    <t>video80.mp4</t>
  </si>
  <si>
    <t>video81.mp4</t>
  </si>
  <si>
    <t>video82.mp4</t>
  </si>
  <si>
    <t>video83.mp4</t>
  </si>
  <si>
    <t>video84.mp4</t>
  </si>
  <si>
    <t>video85.mp4</t>
  </si>
  <si>
    <t>juv de laurent, oeuf séparé</t>
  </si>
  <si>
    <t>video86.mp4</t>
  </si>
  <si>
    <t>video87.mp4</t>
  </si>
  <si>
    <t>video88.mp4</t>
  </si>
  <si>
    <t>video89.mp4</t>
  </si>
  <si>
    <t>video90.mp4</t>
  </si>
  <si>
    <t>video91.mp4</t>
  </si>
  <si>
    <t>video92.mp4</t>
  </si>
  <si>
    <t>video93.mp4</t>
  </si>
  <si>
    <t>video94.mp4</t>
  </si>
  <si>
    <t>video95.mp4</t>
  </si>
  <si>
    <t>video97.mp4</t>
  </si>
  <si>
    <t>juv de laurent, oeuf séparé + bug juste avant capture</t>
  </si>
  <si>
    <t>video98.mp4</t>
  </si>
  <si>
    <t>video99.mp4</t>
  </si>
  <si>
    <t>video100.mp4</t>
  </si>
  <si>
    <t>video101.mp4</t>
  </si>
  <si>
    <t>video102.mp4</t>
  </si>
  <si>
    <t>video103.mp4</t>
  </si>
  <si>
    <t>arm</t>
  </si>
  <si>
    <t>video104.mp4</t>
  </si>
  <si>
    <t>video105.mp4</t>
  </si>
  <si>
    <t>video106.mp4</t>
  </si>
  <si>
    <t>video107.mp4</t>
  </si>
  <si>
    <t>video108.mp4</t>
  </si>
  <si>
    <t>video109.mp4</t>
  </si>
  <si>
    <t>video110.mp4</t>
  </si>
  <si>
    <t>video111.mp4</t>
  </si>
  <si>
    <t>video112.mp4</t>
  </si>
  <si>
    <t>video113.mp4</t>
  </si>
  <si>
    <t>video114.mp4</t>
  </si>
  <si>
    <t>video115.mp4</t>
  </si>
  <si>
    <t>video116.mp4</t>
  </si>
  <si>
    <t>video117.mp4</t>
  </si>
  <si>
    <t>video118.mp4</t>
  </si>
  <si>
    <t>video119.mp4</t>
  </si>
  <si>
    <t>video120.mp4</t>
  </si>
  <si>
    <t>video121.mp4</t>
  </si>
  <si>
    <t>video122.mp4</t>
  </si>
  <si>
    <t>video123.mp4</t>
  </si>
  <si>
    <t>video124.mp4</t>
  </si>
  <si>
    <t>video125.mp4</t>
  </si>
  <si>
    <t>video126.mp4</t>
  </si>
  <si>
    <t>video127.mp4</t>
  </si>
  <si>
    <t>video128.mp4</t>
  </si>
  <si>
    <t>video129.mp4</t>
  </si>
  <si>
    <t>video130.mp4</t>
  </si>
  <si>
    <t>video131.mp4</t>
  </si>
  <si>
    <t>video132.mp4</t>
  </si>
  <si>
    <t>video134.mp4</t>
  </si>
  <si>
    <t>video135.mp4</t>
  </si>
  <si>
    <t>video136.mp4</t>
  </si>
  <si>
    <t>video137.mp4</t>
  </si>
  <si>
    <t>video138.mp4</t>
  </si>
  <si>
    <t>video139.mp4</t>
  </si>
  <si>
    <t>crevette bug</t>
  </si>
  <si>
    <t>video140.mp4</t>
  </si>
  <si>
    <t>video141.mp4</t>
  </si>
  <si>
    <t>video142.mp4</t>
  </si>
  <si>
    <t>video143.mp4</t>
  </si>
  <si>
    <t>video145.mp4</t>
  </si>
  <si>
    <t>video146.mp4</t>
  </si>
  <si>
    <t>video147.mp4</t>
  </si>
  <si>
    <t>video148.mp4</t>
  </si>
  <si>
    <t>video149.mp4</t>
  </si>
  <si>
    <t>video150.mp4</t>
  </si>
  <si>
    <t>video151.mp4</t>
  </si>
  <si>
    <t>video152.mp4</t>
  </si>
  <si>
    <t>video154.mp4</t>
  </si>
  <si>
    <t>video155.mp4</t>
  </si>
  <si>
    <t>video156.mp4</t>
  </si>
  <si>
    <t>video157.mp4</t>
  </si>
  <si>
    <t>VERFI</t>
  </si>
  <si>
    <t>video158.mp4</t>
  </si>
  <si>
    <t>video159.mp4</t>
  </si>
  <si>
    <t>video160.mp4</t>
  </si>
  <si>
    <t>video161.mp4</t>
  </si>
  <si>
    <t>video162.mp4</t>
  </si>
  <si>
    <t>video163.mp4</t>
  </si>
  <si>
    <t>video164.mp4</t>
  </si>
  <si>
    <t>video165.mp4</t>
  </si>
  <si>
    <t>en deux fois</t>
  </si>
  <si>
    <t>video166.mp4</t>
  </si>
  <si>
    <t>video167.mp4</t>
  </si>
  <si>
    <t>video168.mp4</t>
  </si>
  <si>
    <t>video169.mp4</t>
  </si>
  <si>
    <t>video170.mp4</t>
  </si>
  <si>
    <t>CIRC ?</t>
  </si>
  <si>
    <t>video171.mp4</t>
  </si>
  <si>
    <t>video172.mp4</t>
  </si>
  <si>
    <t>video173.mp4</t>
  </si>
  <si>
    <t>video174.mp4</t>
  </si>
  <si>
    <t>video175.mp4</t>
  </si>
  <si>
    <t>video176.mp4</t>
  </si>
  <si>
    <t>video177.mp4</t>
  </si>
  <si>
    <t>video180.mp4</t>
  </si>
  <si>
    <t>multiessai</t>
  </si>
  <si>
    <t>video181.mp4</t>
  </si>
  <si>
    <t>video182.mp4</t>
  </si>
  <si>
    <t>video183.mp4</t>
  </si>
  <si>
    <t>video184.mp4</t>
  </si>
  <si>
    <t>video185.mp4</t>
  </si>
  <si>
    <t>video186.mp4</t>
  </si>
  <si>
    <t>video187.mp4</t>
  </si>
  <si>
    <t>video188.mp4</t>
  </si>
  <si>
    <t>video189.mp4</t>
  </si>
  <si>
    <t>video191.mp4</t>
  </si>
  <si>
    <t>bug crevette juste avant</t>
  </si>
  <si>
    <t>video192.mp4</t>
  </si>
  <si>
    <t>video193.mp4</t>
  </si>
  <si>
    <t>video194.mp4</t>
  </si>
  <si>
    <t>10°?</t>
  </si>
  <si>
    <t>video195.mp4</t>
  </si>
  <si>
    <t>video196.mp4</t>
  </si>
  <si>
    <t>video197.mp4</t>
  </si>
  <si>
    <t>video198.mp4</t>
  </si>
  <si>
    <t>video199.mp4</t>
  </si>
  <si>
    <t>video200.mp4</t>
  </si>
  <si>
    <t>video201.mp4</t>
  </si>
  <si>
    <t>video202.mp4</t>
  </si>
  <si>
    <t>Frame_start</t>
  </si>
  <si>
    <t>catch_type_found</t>
  </si>
  <si>
    <t>catch_type_redefined</t>
  </si>
  <si>
    <t>From_above</t>
  </si>
  <si>
    <t>Pursuit</t>
  </si>
  <si>
    <t>No Pursuit</t>
  </si>
  <si>
    <t>Catch_type</t>
  </si>
  <si>
    <t>orienting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</si>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</sst>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&quot;/&quot;mm&quot;/&quot;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8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5" fontId="1" fillId="0" borderId="0" xfId="0" applyNumberFormat="1" applyFont="1" applyAlignment="1"/>
    <xf numFmtId="0" fontId="1" fillId="0" borderId="0" xfId="0" applyFont="1"/>
    <xf numFmtId="0" fontId="1" fillId="0" borderId="0" xfId="0" applyFont="1"/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5" fontId="1" fillId="0" borderId="0" xfId="0" applyNumberFormat="1" applyFont="1"/>
    <xf numFmtId="0" fontId="0" fillId="0" borderId="0" xfId="0"/>
    <xf numFmtId="0" fontId="1" fillId="0" borderId="0" xfId="0" applyNumberFormat="1" applyFont="1"/>
    <xf numFmtId="0" fontId="0" fillId="0" borderId="0" xfId="0" applyNumberFormat="1"/>
    <xf numFmtId="0" fontId="2" fillId="0" borderId="0" xfId="0" applyNumberFormat="1" applyFont="1"/>
    <xf numFmtId="0" fontId="1" fillId="2" borderId="0" xfId="0" applyFont="1" applyFill="1"/>
    <xf numFmtId="0" fontId="1" fillId="2" borderId="0" xfId="0" applyNumberFormat="1" applyFont="1" applyFill="1"/>
    <xf numFmtId="0" fontId="2" fillId="2" borderId="0" xfId="0" applyFont="1" applyFill="1"/>
    <xf numFmtId="9" fontId="0" fillId="0" borderId="0" xfId="1" applyFont="1"/>
  </cellXfs>
  <cellStyles count="2">
    <cellStyle name="Normal" xfId="0" builtinId="0"/>
    <cellStyle name="Pourcentage" xfId="1" builtinId="5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89"/>
  <sheetViews>
    <sheetView tabSelected="1" topLeftCell="A181" workbookViewId="0">
      <pane xSplit="1" topLeftCell="B1" activePane="topRight" state="frozen"/>
      <selection activeCell="A7" sqref="A7"/>
      <selection pane="topRight" activeCell="K193" sqref="K193:M194"/>
    </sheetView>
  </sheetViews>
  <sheetFormatPr baseColWidth="10" defaultColWidth="12.5703125" defaultRowHeight="15.75" customHeight="1" x14ac:dyDescent="0.2"/>
  <cols>
    <col min="6" max="6" width="18.140625" customWidth="1"/>
    <col min="11" max="11" width="12.5703125" style="12"/>
    <col min="12" max="12" width="18.7109375" style="10" bestFit="1" customWidth="1"/>
    <col min="13" max="13" width="15" style="10" customWidth="1"/>
    <col min="14" max="14" width="20.7109375" customWidth="1"/>
    <col min="18" max="18" width="14.42578125" bestFit="1" customWidth="1"/>
    <col min="19" max="19" width="11.42578125" style="10"/>
  </cols>
  <sheetData>
    <row r="1" spans="1:24" x14ac:dyDescent="0.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3" t="s">
        <v>239</v>
      </c>
      <c r="L1" s="16" t="s">
        <v>235</v>
      </c>
      <c r="M1" s="6" t="s">
        <v>234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0" t="s">
        <v>233</v>
      </c>
      <c r="T1" s="1" t="s">
        <v>241</v>
      </c>
      <c r="U1" s="1" t="s">
        <v>15</v>
      </c>
      <c r="V1" s="1"/>
      <c r="W1" s="1"/>
      <c r="X1" s="1" t="s">
        <v>16</v>
      </c>
    </row>
    <row r="2" spans="1:24" x14ac:dyDescent="0.2">
      <c r="A2" s="1" t="s">
        <v>17</v>
      </c>
      <c r="B2" s="1">
        <v>1</v>
      </c>
      <c r="C2" s="1">
        <v>499.3</v>
      </c>
      <c r="D2" s="2">
        <f t="shared" ref="D2:D192" si="0">C2/1500</f>
        <v>0.3328666666666667</v>
      </c>
      <c r="E2" s="3">
        <v>45796</v>
      </c>
      <c r="F2" s="4">
        <v>45791</v>
      </c>
      <c r="G2" s="5">
        <f t="shared" ref="G2:G192" si="1">E2-F2</f>
        <v>5</v>
      </c>
      <c r="H2" s="1" t="s">
        <v>18</v>
      </c>
      <c r="I2" s="1">
        <v>60</v>
      </c>
      <c r="J2" s="1">
        <v>69</v>
      </c>
      <c r="K2" s="11" t="s">
        <v>237</v>
      </c>
      <c r="L2" s="6" t="s">
        <v>19</v>
      </c>
      <c r="M2" s="6" t="s">
        <v>19</v>
      </c>
      <c r="N2" s="1">
        <v>3</v>
      </c>
      <c r="O2" s="1">
        <v>75</v>
      </c>
      <c r="P2" s="5">
        <f t="shared" ref="P2:P48" si="2">O2-N2</f>
        <v>72</v>
      </c>
      <c r="Q2" s="1">
        <v>3946</v>
      </c>
      <c r="R2" s="1">
        <v>2955</v>
      </c>
      <c r="S2" s="10">
        <v>2067</v>
      </c>
      <c r="T2">
        <v>2</v>
      </c>
      <c r="U2" s="1" t="s">
        <v>20</v>
      </c>
      <c r="X2" s="1" t="s">
        <v>21</v>
      </c>
    </row>
    <row r="3" spans="1:24" x14ac:dyDescent="0.2">
      <c r="A3" s="1" t="s">
        <v>22</v>
      </c>
      <c r="B3" s="1">
        <v>2</v>
      </c>
      <c r="C3" s="1">
        <v>500.84</v>
      </c>
      <c r="D3" s="2">
        <f t="shared" si="0"/>
        <v>0.33389333333333332</v>
      </c>
      <c r="E3" s="3">
        <v>45796</v>
      </c>
      <c r="F3" s="4">
        <v>45791</v>
      </c>
      <c r="G3" s="5">
        <f t="shared" si="1"/>
        <v>5</v>
      </c>
      <c r="H3" s="1" t="s">
        <v>18</v>
      </c>
      <c r="I3" s="1">
        <v>60</v>
      </c>
      <c r="J3" s="1">
        <v>303</v>
      </c>
      <c r="K3" s="15" t="s">
        <v>238</v>
      </c>
      <c r="L3" s="14" t="s">
        <v>23</v>
      </c>
      <c r="M3" s="6" t="s">
        <v>23</v>
      </c>
      <c r="N3" s="1">
        <v>6</v>
      </c>
      <c r="O3" s="1">
        <v>285</v>
      </c>
      <c r="P3" s="5">
        <f t="shared" si="2"/>
        <v>279</v>
      </c>
      <c r="Q3" s="1">
        <v>16490</v>
      </c>
      <c r="R3" s="1">
        <v>15540</v>
      </c>
      <c r="S3" s="10">
        <v>15458</v>
      </c>
      <c r="T3">
        <v>3</v>
      </c>
      <c r="U3" s="1" t="s">
        <v>24</v>
      </c>
    </row>
    <row r="4" spans="1:24" x14ac:dyDescent="0.2">
      <c r="A4" s="1" t="s">
        <v>25</v>
      </c>
      <c r="B4" s="1">
        <v>3</v>
      </c>
      <c r="C4" s="1">
        <v>500.1</v>
      </c>
      <c r="D4" s="2">
        <f t="shared" si="0"/>
        <v>0.33340000000000003</v>
      </c>
      <c r="E4" s="3">
        <v>45798</v>
      </c>
      <c r="F4" s="4">
        <v>45793</v>
      </c>
      <c r="G4" s="5">
        <f t="shared" si="1"/>
        <v>5</v>
      </c>
      <c r="H4" s="1" t="s">
        <v>18</v>
      </c>
      <c r="I4" s="1">
        <v>60</v>
      </c>
      <c r="J4" s="1">
        <v>360</v>
      </c>
      <c r="K4" s="15" t="s">
        <v>238</v>
      </c>
      <c r="L4" s="14" t="s">
        <v>23</v>
      </c>
      <c r="M4" s="6" t="s">
        <v>23</v>
      </c>
      <c r="N4" s="1">
        <v>6</v>
      </c>
      <c r="O4" s="1">
        <v>350</v>
      </c>
      <c r="P4" s="5">
        <f t="shared" si="2"/>
        <v>344</v>
      </c>
      <c r="Q4" s="1">
        <v>20619</v>
      </c>
      <c r="R4" s="1">
        <v>19430</v>
      </c>
      <c r="S4" s="10">
        <v>19328</v>
      </c>
      <c r="T4">
        <v>1</v>
      </c>
      <c r="U4" s="1" t="s">
        <v>24</v>
      </c>
    </row>
    <row r="5" spans="1:24" x14ac:dyDescent="0.2">
      <c r="A5" s="1" t="s">
        <v>26</v>
      </c>
      <c r="B5" s="1">
        <v>4</v>
      </c>
      <c r="C5" s="1">
        <v>501.14400000000001</v>
      </c>
      <c r="D5" s="2">
        <f t="shared" si="0"/>
        <v>0.334096</v>
      </c>
      <c r="E5" s="3">
        <v>45798</v>
      </c>
      <c r="F5" s="4">
        <v>45793</v>
      </c>
      <c r="G5" s="5">
        <f t="shared" si="1"/>
        <v>5</v>
      </c>
      <c r="H5" s="1" t="s">
        <v>18</v>
      </c>
      <c r="I5" s="1">
        <v>60</v>
      </c>
      <c r="J5" s="1">
        <v>388</v>
      </c>
      <c r="K5" s="15" t="s">
        <v>238</v>
      </c>
      <c r="L5" s="14" t="s">
        <v>23</v>
      </c>
      <c r="M5" s="6" t="s">
        <v>23</v>
      </c>
      <c r="N5" s="1">
        <v>6</v>
      </c>
      <c r="O5" s="1">
        <v>388</v>
      </c>
      <c r="P5" s="5">
        <f t="shared" si="2"/>
        <v>382</v>
      </c>
      <c r="Q5" s="1">
        <v>22897</v>
      </c>
      <c r="R5" s="1">
        <v>21792</v>
      </c>
      <c r="S5" s="10">
        <v>21600</v>
      </c>
      <c r="T5">
        <v>1</v>
      </c>
      <c r="U5" s="1" t="s">
        <v>24</v>
      </c>
    </row>
    <row r="6" spans="1:24" x14ac:dyDescent="0.2">
      <c r="A6" s="1" t="s">
        <v>27</v>
      </c>
      <c r="B6" s="1">
        <v>5</v>
      </c>
      <c r="C6" s="1">
        <v>502.16800000000001</v>
      </c>
      <c r="D6" s="2">
        <f t="shared" si="0"/>
        <v>0.33477866666666667</v>
      </c>
      <c r="E6" s="3">
        <v>45798</v>
      </c>
      <c r="F6" s="4">
        <v>45793</v>
      </c>
      <c r="G6" s="5">
        <f t="shared" si="1"/>
        <v>5</v>
      </c>
      <c r="H6" s="1" t="s">
        <v>18</v>
      </c>
      <c r="I6" s="1">
        <v>60</v>
      </c>
      <c r="J6" s="1">
        <v>212</v>
      </c>
      <c r="K6" s="11" t="s">
        <v>237</v>
      </c>
      <c r="L6" s="6" t="s">
        <v>28</v>
      </c>
      <c r="M6" s="6" t="s">
        <v>28</v>
      </c>
      <c r="N6" s="1">
        <v>6</v>
      </c>
      <c r="O6" s="1">
        <v>232</v>
      </c>
      <c r="P6" s="5">
        <f t="shared" si="2"/>
        <v>226</v>
      </c>
      <c r="Q6" s="1">
        <v>13546</v>
      </c>
      <c r="R6" s="1">
        <v>12419</v>
      </c>
      <c r="S6" s="10">
        <v>11900</v>
      </c>
      <c r="T6">
        <v>1</v>
      </c>
      <c r="U6" s="1" t="s">
        <v>24</v>
      </c>
    </row>
    <row r="7" spans="1:24" x14ac:dyDescent="0.2">
      <c r="A7" s="1" t="s">
        <v>29</v>
      </c>
      <c r="B7" s="1">
        <v>6</v>
      </c>
      <c r="C7" s="1">
        <v>502.1</v>
      </c>
      <c r="D7" s="2">
        <f t="shared" si="0"/>
        <v>0.33473333333333333</v>
      </c>
      <c r="E7" s="3">
        <v>45798</v>
      </c>
      <c r="F7" s="4">
        <v>45793</v>
      </c>
      <c r="G7" s="5">
        <f t="shared" si="1"/>
        <v>5</v>
      </c>
      <c r="H7" s="1" t="s">
        <v>18</v>
      </c>
      <c r="I7" s="1">
        <v>60</v>
      </c>
      <c r="J7" s="1">
        <v>83</v>
      </c>
      <c r="K7" s="11" t="s">
        <v>237</v>
      </c>
      <c r="L7" s="6" t="s">
        <v>28</v>
      </c>
      <c r="M7" s="6" t="s">
        <v>28</v>
      </c>
      <c r="N7" s="1">
        <v>5</v>
      </c>
      <c r="O7" s="1">
        <v>83</v>
      </c>
      <c r="P7" s="5">
        <f t="shared" si="2"/>
        <v>78</v>
      </c>
      <c r="Q7" s="1">
        <v>4675</v>
      </c>
      <c r="R7" s="1">
        <v>3572</v>
      </c>
      <c r="S7" s="10">
        <v>2813</v>
      </c>
      <c r="T7">
        <v>2</v>
      </c>
      <c r="U7" s="1" t="s">
        <v>24</v>
      </c>
    </row>
    <row r="8" spans="1:24" x14ac:dyDescent="0.2">
      <c r="A8" s="1" t="s">
        <v>30</v>
      </c>
      <c r="B8" s="1">
        <v>7</v>
      </c>
      <c r="C8" s="1">
        <v>503.04899999999998</v>
      </c>
      <c r="D8" s="2">
        <f t="shared" si="0"/>
        <v>0.335366</v>
      </c>
      <c r="E8" s="3">
        <v>45798</v>
      </c>
      <c r="F8" s="4">
        <v>45793</v>
      </c>
      <c r="G8" s="5">
        <f t="shared" si="1"/>
        <v>5</v>
      </c>
      <c r="H8" s="1" t="s">
        <v>18</v>
      </c>
      <c r="I8" s="1">
        <v>60</v>
      </c>
      <c r="J8" s="1">
        <v>115</v>
      </c>
      <c r="K8" s="15" t="s">
        <v>238</v>
      </c>
      <c r="L8" s="14" t="s">
        <v>23</v>
      </c>
      <c r="M8" s="6" t="s">
        <v>23</v>
      </c>
      <c r="N8" s="1">
        <v>6</v>
      </c>
      <c r="O8" s="1">
        <v>105</v>
      </c>
      <c r="P8" s="5">
        <f t="shared" si="2"/>
        <v>99</v>
      </c>
      <c r="Q8" s="1">
        <v>5934</v>
      </c>
      <c r="R8" s="1">
        <v>4767</v>
      </c>
      <c r="S8" s="10">
        <v>4562</v>
      </c>
      <c r="T8">
        <v>2</v>
      </c>
      <c r="U8" s="1" t="s">
        <v>24</v>
      </c>
    </row>
    <row r="9" spans="1:24" x14ac:dyDescent="0.2">
      <c r="A9" s="1" t="s">
        <v>31</v>
      </c>
      <c r="B9" s="1">
        <v>9</v>
      </c>
      <c r="C9" s="1">
        <v>500.00900000000001</v>
      </c>
      <c r="D9" s="2">
        <f t="shared" si="0"/>
        <v>0.33333933333333332</v>
      </c>
      <c r="E9" s="3">
        <v>45798</v>
      </c>
      <c r="F9" s="4">
        <v>45793</v>
      </c>
      <c r="G9" s="5">
        <f t="shared" si="1"/>
        <v>5</v>
      </c>
      <c r="H9" s="1" t="s">
        <v>18</v>
      </c>
      <c r="I9" s="1">
        <v>60</v>
      </c>
      <c r="J9" s="1">
        <v>237</v>
      </c>
      <c r="K9" s="11" t="s">
        <v>237</v>
      </c>
      <c r="L9" s="6" t="s">
        <v>28</v>
      </c>
      <c r="M9" s="6" t="s">
        <v>28</v>
      </c>
      <c r="N9" s="1">
        <v>5</v>
      </c>
      <c r="O9" s="1">
        <v>210</v>
      </c>
      <c r="P9" s="5">
        <f t="shared" si="2"/>
        <v>205</v>
      </c>
      <c r="Q9" s="1">
        <v>12287</v>
      </c>
      <c r="R9" s="1">
        <v>11304</v>
      </c>
      <c r="S9" s="10">
        <v>9474</v>
      </c>
      <c r="T9">
        <v>2</v>
      </c>
      <c r="U9" s="1" t="s">
        <v>24</v>
      </c>
    </row>
    <row r="10" spans="1:24" x14ac:dyDescent="0.2">
      <c r="A10" s="1" t="s">
        <v>32</v>
      </c>
      <c r="B10" s="1">
        <v>10</v>
      </c>
      <c r="C10" s="1">
        <v>500.06400000000002</v>
      </c>
      <c r="D10" s="2">
        <f t="shared" si="0"/>
        <v>0.33337600000000001</v>
      </c>
      <c r="E10" s="3">
        <v>45798</v>
      </c>
      <c r="F10" s="4">
        <v>45793</v>
      </c>
      <c r="G10" s="5">
        <f t="shared" si="1"/>
        <v>5</v>
      </c>
      <c r="H10" s="1" t="s">
        <v>18</v>
      </c>
      <c r="I10" s="1">
        <v>60</v>
      </c>
      <c r="J10" s="1">
        <v>336</v>
      </c>
      <c r="K10" s="15" t="s">
        <v>238</v>
      </c>
      <c r="L10" s="14" t="s">
        <v>23</v>
      </c>
      <c r="M10" s="6" t="s">
        <v>23</v>
      </c>
      <c r="N10" s="1">
        <v>6</v>
      </c>
      <c r="O10" s="1">
        <v>320</v>
      </c>
      <c r="P10" s="5">
        <f t="shared" si="2"/>
        <v>314</v>
      </c>
      <c r="Q10" s="1">
        <v>18821</v>
      </c>
      <c r="R10" s="1">
        <v>17362</v>
      </c>
      <c r="S10" s="10">
        <v>17289</v>
      </c>
      <c r="T10">
        <v>1</v>
      </c>
      <c r="U10" s="1" t="s">
        <v>24</v>
      </c>
    </row>
    <row r="11" spans="1:24" x14ac:dyDescent="0.2">
      <c r="A11" s="1" t="s">
        <v>33</v>
      </c>
      <c r="B11" s="1">
        <v>11</v>
      </c>
      <c r="C11" s="1">
        <v>498.78699999999998</v>
      </c>
      <c r="D11" s="2">
        <f t="shared" si="0"/>
        <v>0.33252466666666664</v>
      </c>
      <c r="E11" s="3">
        <v>45798</v>
      </c>
      <c r="F11" s="4">
        <v>45793</v>
      </c>
      <c r="G11" s="5">
        <f t="shared" si="1"/>
        <v>5</v>
      </c>
      <c r="H11" s="1" t="s">
        <v>18</v>
      </c>
      <c r="I11" s="1">
        <v>60</v>
      </c>
      <c r="J11" s="1">
        <v>126</v>
      </c>
      <c r="K11" s="15" t="s">
        <v>238</v>
      </c>
      <c r="L11" s="14" t="s">
        <v>34</v>
      </c>
      <c r="M11" s="6" t="s">
        <v>34</v>
      </c>
      <c r="N11" s="1">
        <v>6</v>
      </c>
      <c r="O11" s="1">
        <v>120</v>
      </c>
      <c r="P11" s="5">
        <f t="shared" si="2"/>
        <v>114</v>
      </c>
      <c r="Q11" s="1">
        <v>6833</v>
      </c>
      <c r="R11" s="1">
        <v>5718</v>
      </c>
      <c r="S11" s="10">
        <v>5480</v>
      </c>
      <c r="T11">
        <v>2</v>
      </c>
      <c r="U11" s="1" t="s">
        <v>24</v>
      </c>
    </row>
    <row r="12" spans="1:24" x14ac:dyDescent="0.2">
      <c r="A12" s="1" t="s">
        <v>35</v>
      </c>
      <c r="B12" s="1">
        <v>12</v>
      </c>
      <c r="C12" s="1">
        <v>498.51400000000001</v>
      </c>
      <c r="D12" s="2">
        <f t="shared" si="0"/>
        <v>0.33234266666666668</v>
      </c>
      <c r="E12" s="3">
        <v>45798</v>
      </c>
      <c r="F12" s="4">
        <v>45793</v>
      </c>
      <c r="G12" s="5">
        <f t="shared" si="1"/>
        <v>5</v>
      </c>
      <c r="H12" s="1" t="s">
        <v>18</v>
      </c>
      <c r="I12" s="1">
        <v>60</v>
      </c>
      <c r="J12" s="1">
        <v>117</v>
      </c>
      <c r="K12" s="15" t="s">
        <v>238</v>
      </c>
      <c r="L12" s="14" t="s">
        <v>34</v>
      </c>
      <c r="M12" s="6" t="s">
        <v>34</v>
      </c>
      <c r="N12" s="1">
        <v>6</v>
      </c>
      <c r="O12" s="1">
        <v>105</v>
      </c>
      <c r="P12" s="5">
        <f t="shared" si="2"/>
        <v>99</v>
      </c>
      <c r="Q12" s="1">
        <v>5934</v>
      </c>
      <c r="R12" s="1">
        <v>4928</v>
      </c>
      <c r="S12" s="10">
        <v>3868</v>
      </c>
      <c r="T12">
        <v>2</v>
      </c>
      <c r="U12" s="1" t="s">
        <v>24</v>
      </c>
    </row>
    <row r="13" spans="1:24" x14ac:dyDescent="0.2">
      <c r="A13" s="1" t="s">
        <v>36</v>
      </c>
      <c r="B13" s="1">
        <v>13</v>
      </c>
      <c r="C13" s="1">
        <v>501.399</v>
      </c>
      <c r="D13" s="2">
        <f t="shared" si="0"/>
        <v>0.33426600000000001</v>
      </c>
      <c r="E13" s="3">
        <v>45798</v>
      </c>
      <c r="F13" s="4">
        <v>45793</v>
      </c>
      <c r="G13" s="5">
        <f t="shared" si="1"/>
        <v>5</v>
      </c>
      <c r="H13" s="1" t="s">
        <v>18</v>
      </c>
      <c r="I13" s="1">
        <v>60</v>
      </c>
      <c r="J13" s="1">
        <v>1164</v>
      </c>
      <c r="K13" s="11" t="s">
        <v>237</v>
      </c>
      <c r="L13" s="6" t="s">
        <v>19</v>
      </c>
      <c r="M13" s="6" t="s">
        <v>19</v>
      </c>
      <c r="N13" s="1">
        <v>6</v>
      </c>
      <c r="O13" s="1">
        <v>465</v>
      </c>
      <c r="P13" s="5">
        <f t="shared" si="2"/>
        <v>459</v>
      </c>
      <c r="Q13" s="1">
        <v>27512</v>
      </c>
      <c r="R13" s="1">
        <v>26851</v>
      </c>
      <c r="S13" s="10">
        <v>24800</v>
      </c>
      <c r="T13">
        <v>2</v>
      </c>
      <c r="U13" s="1" t="s">
        <v>24</v>
      </c>
    </row>
    <row r="14" spans="1:24" x14ac:dyDescent="0.2">
      <c r="A14" s="1" t="s">
        <v>37</v>
      </c>
      <c r="B14" s="1">
        <v>14</v>
      </c>
      <c r="C14" s="1">
        <v>498.00400000000002</v>
      </c>
      <c r="D14" s="2">
        <f t="shared" si="0"/>
        <v>0.33200266666666667</v>
      </c>
      <c r="E14" s="3">
        <v>45798</v>
      </c>
      <c r="F14" s="4">
        <v>45793</v>
      </c>
      <c r="G14" s="5">
        <f t="shared" si="1"/>
        <v>5</v>
      </c>
      <c r="H14" s="1" t="s">
        <v>18</v>
      </c>
      <c r="I14" s="1">
        <v>60</v>
      </c>
      <c r="J14" s="1">
        <v>86</v>
      </c>
      <c r="K14" s="15" t="s">
        <v>238</v>
      </c>
      <c r="L14" s="14" t="s">
        <v>240</v>
      </c>
      <c r="M14" s="6" t="s">
        <v>43</v>
      </c>
      <c r="N14" s="1">
        <v>7</v>
      </c>
      <c r="O14" s="1">
        <v>83</v>
      </c>
      <c r="P14" s="5">
        <f t="shared" si="2"/>
        <v>76</v>
      </c>
      <c r="Q14" s="1">
        <v>4555</v>
      </c>
      <c r="R14" s="1">
        <v>3384</v>
      </c>
      <c r="S14" s="10">
        <v>3153</v>
      </c>
      <c r="T14">
        <v>3</v>
      </c>
      <c r="U14" s="1" t="s">
        <v>20</v>
      </c>
      <c r="X14" s="1" t="s">
        <v>21</v>
      </c>
    </row>
    <row r="15" spans="1:24" x14ac:dyDescent="0.2">
      <c r="A15" s="1" t="s">
        <v>38</v>
      </c>
      <c r="B15" s="1">
        <v>15</v>
      </c>
      <c r="C15" s="1">
        <v>498.06400000000002</v>
      </c>
      <c r="D15" s="2">
        <f t="shared" si="0"/>
        <v>0.33204266666666671</v>
      </c>
      <c r="E15" s="3">
        <v>45798</v>
      </c>
      <c r="F15" s="4">
        <v>45793</v>
      </c>
      <c r="G15" s="5">
        <f t="shared" si="1"/>
        <v>5</v>
      </c>
      <c r="H15" s="1" t="s">
        <v>18</v>
      </c>
      <c r="I15" s="1">
        <v>60</v>
      </c>
      <c r="J15" s="1">
        <v>183</v>
      </c>
      <c r="K15" s="15" t="s">
        <v>238</v>
      </c>
      <c r="L15" s="14" t="s">
        <v>34</v>
      </c>
      <c r="M15" s="6" t="s">
        <v>34</v>
      </c>
      <c r="N15" s="1">
        <v>11</v>
      </c>
      <c r="O15" s="1">
        <v>183</v>
      </c>
      <c r="P15" s="5">
        <f t="shared" si="2"/>
        <v>172</v>
      </c>
      <c r="Q15" s="1">
        <v>10309</v>
      </c>
      <c r="R15" s="1">
        <v>9029</v>
      </c>
      <c r="S15" s="10">
        <v>7441</v>
      </c>
      <c r="T15">
        <v>2</v>
      </c>
      <c r="U15" s="1" t="s">
        <v>24</v>
      </c>
    </row>
    <row r="16" spans="1:24" x14ac:dyDescent="0.2">
      <c r="A16" s="1" t="s">
        <v>39</v>
      </c>
      <c r="B16" s="1">
        <v>16</v>
      </c>
      <c r="C16" s="1">
        <v>502.06400000000002</v>
      </c>
      <c r="D16" s="2">
        <f t="shared" si="0"/>
        <v>0.33470933333333336</v>
      </c>
      <c r="E16" s="3">
        <v>45798</v>
      </c>
      <c r="F16" s="4">
        <v>45793</v>
      </c>
      <c r="G16" s="5">
        <f t="shared" si="1"/>
        <v>5</v>
      </c>
      <c r="H16" s="1" t="s">
        <v>18</v>
      </c>
      <c r="I16" s="1">
        <v>60</v>
      </c>
      <c r="J16" s="1">
        <v>190</v>
      </c>
      <c r="K16" s="11" t="s">
        <v>237</v>
      </c>
      <c r="L16" s="6" t="s">
        <v>19</v>
      </c>
      <c r="M16" s="6" t="s">
        <v>19</v>
      </c>
      <c r="N16" s="1">
        <v>7</v>
      </c>
      <c r="O16" s="1">
        <v>172</v>
      </c>
      <c r="P16" s="5">
        <f t="shared" si="2"/>
        <v>165</v>
      </c>
      <c r="Q16" s="1">
        <v>9890</v>
      </c>
      <c r="R16" s="1">
        <v>8829</v>
      </c>
      <c r="S16" s="10">
        <v>8063</v>
      </c>
      <c r="T16">
        <v>2</v>
      </c>
      <c r="U16" s="1" t="s">
        <v>24</v>
      </c>
    </row>
    <row r="17" spans="1:24" x14ac:dyDescent="0.2">
      <c r="A17" s="1" t="s">
        <v>40</v>
      </c>
      <c r="B17" s="1">
        <v>17</v>
      </c>
      <c r="C17" s="1">
        <v>497.02499999999998</v>
      </c>
      <c r="D17" s="2">
        <f t="shared" si="0"/>
        <v>0.33134999999999998</v>
      </c>
      <c r="E17" s="3">
        <v>45798</v>
      </c>
      <c r="F17" s="4">
        <v>45793</v>
      </c>
      <c r="G17" s="5">
        <f t="shared" si="1"/>
        <v>5</v>
      </c>
      <c r="H17" s="1" t="s">
        <v>18</v>
      </c>
      <c r="I17" s="1">
        <v>60</v>
      </c>
      <c r="J17" s="1">
        <v>285</v>
      </c>
      <c r="K17" s="15" t="s">
        <v>238</v>
      </c>
      <c r="L17" s="14" t="s">
        <v>23</v>
      </c>
      <c r="M17" s="6" t="s">
        <v>23</v>
      </c>
      <c r="N17" s="1">
        <v>6</v>
      </c>
      <c r="O17" s="1">
        <v>260</v>
      </c>
      <c r="P17" s="5">
        <f t="shared" si="2"/>
        <v>254</v>
      </c>
      <c r="Q17" s="1">
        <v>15224</v>
      </c>
      <c r="R17" s="1">
        <v>14238</v>
      </c>
      <c r="S17" s="10">
        <v>13890</v>
      </c>
      <c r="T17">
        <v>2</v>
      </c>
      <c r="U17" s="1" t="s">
        <v>24</v>
      </c>
    </row>
    <row r="18" spans="1:24" x14ac:dyDescent="0.2">
      <c r="A18" s="1" t="s">
        <v>41</v>
      </c>
      <c r="B18" s="1">
        <v>18</v>
      </c>
      <c r="C18" s="1">
        <v>502.04899999999998</v>
      </c>
      <c r="D18" s="2">
        <f t="shared" si="0"/>
        <v>0.33469933333333329</v>
      </c>
      <c r="E18" s="3">
        <v>45798</v>
      </c>
      <c r="F18" s="4">
        <v>45793</v>
      </c>
      <c r="G18" s="5">
        <f t="shared" si="1"/>
        <v>5</v>
      </c>
      <c r="H18" s="1" t="s">
        <v>18</v>
      </c>
      <c r="I18" s="1">
        <v>60</v>
      </c>
      <c r="J18" s="1">
        <v>120</v>
      </c>
      <c r="K18" s="15" t="s">
        <v>238</v>
      </c>
      <c r="L18" s="14" t="s">
        <v>240</v>
      </c>
      <c r="M18" s="6" t="s">
        <v>43</v>
      </c>
      <c r="N18" s="1">
        <v>8</v>
      </c>
      <c r="O18" s="1">
        <v>55</v>
      </c>
      <c r="P18" s="5">
        <f t="shared" si="2"/>
        <v>47</v>
      </c>
      <c r="Q18" s="1">
        <v>2817</v>
      </c>
      <c r="R18" s="1">
        <v>1792</v>
      </c>
      <c r="S18" s="10">
        <v>1680</v>
      </c>
      <c r="T18">
        <v>1</v>
      </c>
      <c r="U18" s="1" t="s">
        <v>24</v>
      </c>
    </row>
    <row r="19" spans="1:24" x14ac:dyDescent="0.2">
      <c r="A19" s="1" t="s">
        <v>42</v>
      </c>
      <c r="B19" s="1">
        <v>19</v>
      </c>
      <c r="C19" s="1">
        <v>502.00099999999998</v>
      </c>
      <c r="D19" s="2">
        <f t="shared" si="0"/>
        <v>0.33466733333333332</v>
      </c>
      <c r="E19" s="3">
        <v>45798</v>
      </c>
      <c r="F19" s="4">
        <v>45793</v>
      </c>
      <c r="G19" s="5">
        <f t="shared" si="1"/>
        <v>5</v>
      </c>
      <c r="H19" s="1" t="s">
        <v>18</v>
      </c>
      <c r="I19" s="1">
        <v>60</v>
      </c>
      <c r="J19" s="1">
        <v>130</v>
      </c>
      <c r="K19" s="15" t="s">
        <v>238</v>
      </c>
      <c r="L19" s="14" t="s">
        <v>240</v>
      </c>
      <c r="M19" s="6" t="s">
        <v>34</v>
      </c>
      <c r="N19" s="1">
        <v>5</v>
      </c>
      <c r="O19" s="1">
        <v>42</v>
      </c>
      <c r="P19" s="5">
        <f t="shared" si="2"/>
        <v>37</v>
      </c>
      <c r="Q19" s="1">
        <v>2217</v>
      </c>
      <c r="R19" s="1">
        <v>1213</v>
      </c>
      <c r="S19" s="10">
        <v>1120</v>
      </c>
      <c r="T19">
        <v>3</v>
      </c>
      <c r="U19" s="1" t="s">
        <v>24</v>
      </c>
    </row>
    <row r="20" spans="1:24" x14ac:dyDescent="0.2">
      <c r="A20" s="1" t="s">
        <v>44</v>
      </c>
      <c r="B20" s="1">
        <v>20</v>
      </c>
      <c r="C20" s="1">
        <v>484.33499999999998</v>
      </c>
      <c r="D20" s="2">
        <f t="shared" si="0"/>
        <v>0.32289000000000001</v>
      </c>
      <c r="E20" s="3">
        <v>45821</v>
      </c>
      <c r="F20" s="4">
        <v>45816</v>
      </c>
      <c r="G20" s="5">
        <f t="shared" si="1"/>
        <v>5</v>
      </c>
      <c r="H20" s="1" t="s">
        <v>18</v>
      </c>
      <c r="I20" s="1">
        <v>60</v>
      </c>
      <c r="J20" s="1">
        <v>678</v>
      </c>
      <c r="K20" s="11" t="s">
        <v>237</v>
      </c>
      <c r="L20" s="6" t="s">
        <v>28</v>
      </c>
      <c r="M20" s="6" t="s">
        <v>28</v>
      </c>
      <c r="N20" s="1">
        <v>25</v>
      </c>
      <c r="O20" s="1">
        <v>620</v>
      </c>
      <c r="P20" s="5">
        <f t="shared" si="2"/>
        <v>595</v>
      </c>
      <c r="Q20" s="1">
        <v>35664</v>
      </c>
      <c r="R20" s="1">
        <v>34659</v>
      </c>
      <c r="S20" s="10">
        <v>33826</v>
      </c>
      <c r="T20">
        <v>1</v>
      </c>
      <c r="U20" s="1" t="s">
        <v>20</v>
      </c>
      <c r="X20" s="1" t="s">
        <v>45</v>
      </c>
    </row>
    <row r="21" spans="1:24" x14ac:dyDescent="0.2">
      <c r="A21" s="1" t="s">
        <v>46</v>
      </c>
      <c r="B21" s="1">
        <v>21</v>
      </c>
      <c r="C21" s="1">
        <v>483.17500000000001</v>
      </c>
      <c r="D21" s="2">
        <f t="shared" si="0"/>
        <v>0.32211666666666666</v>
      </c>
      <c r="E21" s="3">
        <v>45821</v>
      </c>
      <c r="F21" s="4">
        <v>45816</v>
      </c>
      <c r="G21" s="5">
        <f t="shared" si="1"/>
        <v>5</v>
      </c>
      <c r="H21" s="1" t="s">
        <v>18</v>
      </c>
      <c r="I21" s="1">
        <v>60</v>
      </c>
      <c r="J21" s="1">
        <v>176</v>
      </c>
      <c r="K21" s="15" t="s">
        <v>238</v>
      </c>
      <c r="L21" s="14" t="s">
        <v>23</v>
      </c>
      <c r="M21" s="6" t="s">
        <v>23</v>
      </c>
      <c r="N21" s="1">
        <v>6</v>
      </c>
      <c r="O21" s="1">
        <v>174</v>
      </c>
      <c r="P21" s="5">
        <f t="shared" si="2"/>
        <v>168</v>
      </c>
      <c r="Q21" s="1">
        <v>10069</v>
      </c>
      <c r="R21" s="1">
        <v>8763</v>
      </c>
      <c r="S21" s="10">
        <v>8572</v>
      </c>
      <c r="T21">
        <v>2</v>
      </c>
      <c r="U21" s="1" t="s">
        <v>24</v>
      </c>
    </row>
    <row r="22" spans="1:24" x14ac:dyDescent="0.2">
      <c r="A22" s="1" t="s">
        <v>47</v>
      </c>
      <c r="B22" s="1">
        <v>22</v>
      </c>
      <c r="C22" s="1">
        <v>486.08300000000003</v>
      </c>
      <c r="D22" s="2">
        <f t="shared" si="0"/>
        <v>0.32405533333333336</v>
      </c>
      <c r="E22" s="3">
        <v>45821</v>
      </c>
      <c r="F22" s="4">
        <v>45816</v>
      </c>
      <c r="G22" s="5">
        <f t="shared" si="1"/>
        <v>5</v>
      </c>
      <c r="H22" s="1" t="s">
        <v>18</v>
      </c>
      <c r="I22" s="1">
        <v>60</v>
      </c>
      <c r="J22" s="1">
        <v>883</v>
      </c>
      <c r="K22" s="15" t="s">
        <v>238</v>
      </c>
      <c r="L22" s="14" t="s">
        <v>23</v>
      </c>
      <c r="M22" s="6" t="s">
        <v>23</v>
      </c>
      <c r="N22" s="1">
        <v>10</v>
      </c>
      <c r="O22" s="1">
        <v>530</v>
      </c>
      <c r="P22" s="5">
        <f t="shared" si="2"/>
        <v>520</v>
      </c>
      <c r="Q22" s="1">
        <v>31168</v>
      </c>
      <c r="R22" s="1">
        <v>29766</v>
      </c>
      <c r="S22" s="10">
        <v>29655</v>
      </c>
      <c r="T22">
        <v>1</v>
      </c>
      <c r="U22" s="1" t="s">
        <v>20</v>
      </c>
      <c r="X22" s="1" t="s">
        <v>48</v>
      </c>
    </row>
    <row r="23" spans="1:24" x14ac:dyDescent="0.2">
      <c r="A23" s="1" t="s">
        <v>49</v>
      </c>
      <c r="B23" s="1">
        <v>23</v>
      </c>
      <c r="C23" s="1">
        <v>486.03699999999998</v>
      </c>
      <c r="D23" s="2">
        <f t="shared" si="0"/>
        <v>0.32402466666666663</v>
      </c>
      <c r="E23" s="3">
        <v>45821</v>
      </c>
      <c r="F23" s="4">
        <v>45816</v>
      </c>
      <c r="G23" s="5">
        <f t="shared" si="1"/>
        <v>5</v>
      </c>
      <c r="H23" s="1" t="s">
        <v>18</v>
      </c>
      <c r="I23" s="1">
        <v>60</v>
      </c>
      <c r="J23" s="1">
        <v>161</v>
      </c>
      <c r="K23" s="15" t="s">
        <v>238</v>
      </c>
      <c r="L23" s="14" t="s">
        <v>23</v>
      </c>
      <c r="M23" s="6" t="s">
        <v>23</v>
      </c>
      <c r="N23" s="1">
        <v>5</v>
      </c>
      <c r="O23" s="1">
        <v>50</v>
      </c>
      <c r="P23" s="5">
        <f t="shared" si="2"/>
        <v>45</v>
      </c>
      <c r="Q23" s="1">
        <v>2697</v>
      </c>
      <c r="R23" s="1">
        <v>1662</v>
      </c>
      <c r="S23" s="10">
        <v>1490</v>
      </c>
      <c r="T23">
        <v>2</v>
      </c>
      <c r="U23" s="1" t="s">
        <v>24</v>
      </c>
    </row>
    <row r="24" spans="1:24" x14ac:dyDescent="0.2">
      <c r="A24" s="1" t="s">
        <v>50</v>
      </c>
      <c r="B24" s="1">
        <v>24</v>
      </c>
      <c r="C24" s="1">
        <v>498.00900000000001</v>
      </c>
      <c r="D24" s="2">
        <f t="shared" si="0"/>
        <v>0.33200600000000002</v>
      </c>
      <c r="E24" s="3">
        <v>45829</v>
      </c>
      <c r="F24" s="4">
        <v>45824</v>
      </c>
      <c r="G24" s="5">
        <f t="shared" si="1"/>
        <v>5</v>
      </c>
      <c r="H24" s="1" t="s">
        <v>18</v>
      </c>
      <c r="I24" s="1">
        <v>60</v>
      </c>
      <c r="J24" s="1">
        <v>150</v>
      </c>
      <c r="K24" s="15" t="s">
        <v>238</v>
      </c>
      <c r="L24" s="14" t="s">
        <v>34</v>
      </c>
      <c r="M24" s="6" t="s">
        <v>34</v>
      </c>
      <c r="N24" s="1">
        <v>7</v>
      </c>
      <c r="O24" s="1">
        <v>35</v>
      </c>
      <c r="P24" s="5">
        <f t="shared" si="2"/>
        <v>28</v>
      </c>
      <c r="Q24" s="1">
        <v>1678</v>
      </c>
      <c r="R24" s="1">
        <v>576</v>
      </c>
      <c r="S24" s="10">
        <v>254</v>
      </c>
      <c r="T24">
        <v>2</v>
      </c>
      <c r="U24" s="1" t="s">
        <v>24</v>
      </c>
    </row>
    <row r="25" spans="1:24" x14ac:dyDescent="0.2">
      <c r="A25" s="1" t="s">
        <v>51</v>
      </c>
      <c r="B25" s="1">
        <v>25</v>
      </c>
      <c r="C25" s="1">
        <v>490.10199999999998</v>
      </c>
      <c r="D25" s="2">
        <f t="shared" si="0"/>
        <v>0.32673466666666667</v>
      </c>
      <c r="E25" s="3">
        <v>45829</v>
      </c>
      <c r="F25" s="4">
        <v>45824</v>
      </c>
      <c r="G25" s="5">
        <f t="shared" si="1"/>
        <v>5</v>
      </c>
      <c r="H25" s="1" t="s">
        <v>18</v>
      </c>
      <c r="I25" s="1">
        <v>60</v>
      </c>
      <c r="J25" s="1">
        <v>95</v>
      </c>
      <c r="K25" s="11" t="s">
        <v>237</v>
      </c>
      <c r="L25" s="6" t="s">
        <v>19</v>
      </c>
      <c r="M25" s="6" t="s">
        <v>19</v>
      </c>
      <c r="N25" s="1">
        <v>8</v>
      </c>
      <c r="O25" s="1">
        <v>63</v>
      </c>
      <c r="P25" s="5">
        <f t="shared" si="2"/>
        <v>55</v>
      </c>
      <c r="Q25" s="1">
        <v>3296</v>
      </c>
      <c r="R25" s="1">
        <v>2286</v>
      </c>
      <c r="S25" s="10">
        <v>2225</v>
      </c>
      <c r="T25">
        <v>3</v>
      </c>
      <c r="U25" s="1" t="s">
        <v>24</v>
      </c>
    </row>
    <row r="26" spans="1:24" x14ac:dyDescent="0.2">
      <c r="A26" s="1" t="s">
        <v>52</v>
      </c>
      <c r="B26" s="1">
        <v>27</v>
      </c>
      <c r="C26" s="1">
        <v>489.065</v>
      </c>
      <c r="D26" s="2">
        <f t="shared" si="0"/>
        <v>0.32604333333333335</v>
      </c>
      <c r="E26" s="3">
        <v>45829</v>
      </c>
      <c r="F26" s="4">
        <v>45824</v>
      </c>
      <c r="G26" s="5">
        <f t="shared" si="1"/>
        <v>5</v>
      </c>
      <c r="H26" s="1" t="s">
        <v>18</v>
      </c>
      <c r="I26" s="1">
        <v>60</v>
      </c>
      <c r="J26" s="1">
        <v>36</v>
      </c>
      <c r="K26" s="15" t="s">
        <v>238</v>
      </c>
      <c r="L26" s="14" t="s">
        <v>34</v>
      </c>
      <c r="M26" s="6" t="s">
        <v>34</v>
      </c>
      <c r="N26" s="1">
        <v>5</v>
      </c>
      <c r="O26" s="1">
        <v>34</v>
      </c>
      <c r="P26" s="5">
        <f t="shared" si="2"/>
        <v>29</v>
      </c>
      <c r="Q26" s="1">
        <v>1738</v>
      </c>
      <c r="R26" s="1">
        <v>722</v>
      </c>
      <c r="S26" s="10">
        <v>657</v>
      </c>
      <c r="T26">
        <v>3</v>
      </c>
      <c r="U26" s="1" t="s">
        <v>24</v>
      </c>
    </row>
    <row r="27" spans="1:24" x14ac:dyDescent="0.2">
      <c r="A27" s="1" t="s">
        <v>53</v>
      </c>
      <c r="B27" s="1">
        <v>28</v>
      </c>
      <c r="C27" s="1">
        <v>488.01600000000002</v>
      </c>
      <c r="D27" s="2">
        <f t="shared" si="0"/>
        <v>0.32534400000000002</v>
      </c>
      <c r="E27" s="3">
        <v>45829</v>
      </c>
      <c r="F27" s="4">
        <v>45824</v>
      </c>
      <c r="G27" s="5">
        <f t="shared" si="1"/>
        <v>5</v>
      </c>
      <c r="H27" s="1" t="s">
        <v>18</v>
      </c>
      <c r="I27" s="1">
        <v>60</v>
      </c>
      <c r="J27" s="1">
        <v>549</v>
      </c>
      <c r="K27" s="11" t="s">
        <v>237</v>
      </c>
      <c r="L27" s="6" t="s">
        <v>19</v>
      </c>
      <c r="M27" s="6" t="s">
        <v>19</v>
      </c>
      <c r="N27" s="1">
        <v>7</v>
      </c>
      <c r="O27" s="1">
        <v>549</v>
      </c>
      <c r="P27" s="5">
        <f t="shared" si="2"/>
        <v>542</v>
      </c>
      <c r="Q27" s="1">
        <v>32487</v>
      </c>
      <c r="R27" s="1">
        <v>31232</v>
      </c>
      <c r="S27" s="10">
        <v>30908</v>
      </c>
      <c r="T27">
        <v>1</v>
      </c>
      <c r="U27" s="1" t="s">
        <v>24</v>
      </c>
    </row>
    <row r="28" spans="1:24" x14ac:dyDescent="0.2">
      <c r="A28" s="1" t="s">
        <v>54</v>
      </c>
      <c r="B28" s="1">
        <v>29</v>
      </c>
      <c r="C28" s="1">
        <v>472.08600000000001</v>
      </c>
      <c r="D28" s="2">
        <f t="shared" si="0"/>
        <v>0.314724</v>
      </c>
      <c r="E28" s="3">
        <v>45838</v>
      </c>
      <c r="F28" s="4">
        <v>45834</v>
      </c>
      <c r="G28" s="5">
        <f t="shared" si="1"/>
        <v>4</v>
      </c>
      <c r="H28" s="1" t="s">
        <v>18</v>
      </c>
      <c r="I28" s="1">
        <v>60</v>
      </c>
      <c r="J28" s="1">
        <v>93</v>
      </c>
      <c r="K28" s="11" t="s">
        <v>237</v>
      </c>
      <c r="L28" s="6" t="s">
        <v>28</v>
      </c>
      <c r="M28" s="6" t="s">
        <v>28</v>
      </c>
      <c r="N28" s="1">
        <v>6</v>
      </c>
      <c r="O28" s="1">
        <v>75</v>
      </c>
      <c r="P28" s="5">
        <f t="shared" si="2"/>
        <v>69</v>
      </c>
      <c r="Q28" s="1">
        <v>4135</v>
      </c>
      <c r="R28" s="1">
        <v>3122</v>
      </c>
      <c r="S28" s="10">
        <v>2881</v>
      </c>
      <c r="T28">
        <v>1</v>
      </c>
      <c r="U28" s="1" t="s">
        <v>20</v>
      </c>
      <c r="X28" s="1" t="s">
        <v>55</v>
      </c>
    </row>
    <row r="29" spans="1:24" x14ac:dyDescent="0.2">
      <c r="A29" s="1" t="s">
        <v>56</v>
      </c>
      <c r="B29" s="1">
        <v>30</v>
      </c>
      <c r="C29" s="1">
        <v>471.17899999999997</v>
      </c>
      <c r="D29" s="2">
        <f t="shared" si="0"/>
        <v>0.31411933333333331</v>
      </c>
      <c r="E29" s="3">
        <v>45838</v>
      </c>
      <c r="F29" s="4">
        <v>45834</v>
      </c>
      <c r="G29" s="5">
        <f t="shared" si="1"/>
        <v>4</v>
      </c>
      <c r="H29" s="1" t="s">
        <v>18</v>
      </c>
      <c r="I29" s="1">
        <v>60</v>
      </c>
      <c r="J29" s="1">
        <v>46</v>
      </c>
      <c r="K29" s="15" t="s">
        <v>238</v>
      </c>
      <c r="L29" s="14" t="s">
        <v>23</v>
      </c>
      <c r="M29" s="6" t="s">
        <v>23</v>
      </c>
      <c r="N29" s="1">
        <v>6</v>
      </c>
      <c r="O29" s="1">
        <v>40</v>
      </c>
      <c r="P29" s="5">
        <f t="shared" si="2"/>
        <v>34</v>
      </c>
      <c r="Q29" s="1">
        <v>2037</v>
      </c>
      <c r="R29" s="1">
        <v>1054</v>
      </c>
      <c r="S29" s="10">
        <v>734</v>
      </c>
      <c r="T29">
        <v>2</v>
      </c>
      <c r="U29" s="1" t="s">
        <v>24</v>
      </c>
    </row>
    <row r="30" spans="1:24" x14ac:dyDescent="0.2">
      <c r="A30" s="1" t="s">
        <v>57</v>
      </c>
      <c r="B30" s="1">
        <v>31</v>
      </c>
      <c r="C30" s="1">
        <v>469.15300000000002</v>
      </c>
      <c r="D30" s="2">
        <f t="shared" si="0"/>
        <v>0.31276866666666669</v>
      </c>
      <c r="E30" s="3">
        <v>45838</v>
      </c>
      <c r="F30" s="4">
        <v>45834</v>
      </c>
      <c r="G30" s="5">
        <f t="shared" si="1"/>
        <v>4</v>
      </c>
      <c r="H30" s="1" t="s">
        <v>18</v>
      </c>
      <c r="I30" s="1">
        <v>60</v>
      </c>
      <c r="J30" s="1">
        <v>45</v>
      </c>
      <c r="K30" s="11" t="s">
        <v>237</v>
      </c>
      <c r="L30" s="6" t="s">
        <v>19</v>
      </c>
      <c r="M30" s="6" t="s">
        <v>19</v>
      </c>
      <c r="N30" s="1">
        <v>5</v>
      </c>
      <c r="O30" s="1">
        <v>30</v>
      </c>
      <c r="P30" s="5">
        <f t="shared" si="2"/>
        <v>25</v>
      </c>
      <c r="Q30" s="1">
        <v>1498</v>
      </c>
      <c r="R30" s="1">
        <v>508</v>
      </c>
      <c r="S30" s="10">
        <v>365</v>
      </c>
      <c r="T30">
        <v>2</v>
      </c>
      <c r="U30" s="1" t="s">
        <v>24</v>
      </c>
    </row>
    <row r="31" spans="1:24" x14ac:dyDescent="0.2">
      <c r="A31" s="1" t="s">
        <v>58</v>
      </c>
      <c r="B31" s="1">
        <v>32</v>
      </c>
      <c r="C31" s="1">
        <v>471.95400000000001</v>
      </c>
      <c r="D31" s="2">
        <f t="shared" si="0"/>
        <v>0.31463600000000003</v>
      </c>
      <c r="E31" s="3">
        <v>45838</v>
      </c>
      <c r="F31" s="4">
        <v>45834</v>
      </c>
      <c r="G31" s="5">
        <f t="shared" si="1"/>
        <v>4</v>
      </c>
      <c r="H31" s="1" t="s">
        <v>18</v>
      </c>
      <c r="I31" s="1">
        <v>60</v>
      </c>
      <c r="J31" s="1">
        <v>71</v>
      </c>
      <c r="K31" s="11" t="s">
        <v>237</v>
      </c>
      <c r="L31" s="6" t="s">
        <v>19</v>
      </c>
      <c r="M31" s="6" t="s">
        <v>19</v>
      </c>
      <c r="N31" s="1">
        <v>6</v>
      </c>
      <c r="O31" s="1">
        <v>62</v>
      </c>
      <c r="P31" s="5">
        <f t="shared" si="2"/>
        <v>56</v>
      </c>
      <c r="Q31" s="1">
        <v>3356</v>
      </c>
      <c r="R31" s="1">
        <v>2416</v>
      </c>
      <c r="S31" s="10">
        <v>2300</v>
      </c>
      <c r="T31">
        <v>2</v>
      </c>
      <c r="U31" s="1" t="s">
        <v>24</v>
      </c>
    </row>
    <row r="32" spans="1:24" x14ac:dyDescent="0.2">
      <c r="A32" s="1" t="s">
        <v>59</v>
      </c>
      <c r="B32" s="1">
        <v>33</v>
      </c>
      <c r="C32" s="1">
        <v>471.12799999999999</v>
      </c>
      <c r="D32" s="2">
        <f t="shared" si="0"/>
        <v>0.31408533333333333</v>
      </c>
      <c r="E32" s="3">
        <v>45838</v>
      </c>
      <c r="F32" s="4">
        <v>45834</v>
      </c>
      <c r="G32" s="5">
        <f t="shared" si="1"/>
        <v>4</v>
      </c>
      <c r="H32" s="1" t="s">
        <v>18</v>
      </c>
      <c r="I32" s="1">
        <v>60</v>
      </c>
      <c r="J32" s="1">
        <v>102</v>
      </c>
      <c r="K32" s="11" t="s">
        <v>237</v>
      </c>
      <c r="L32" s="6" t="s">
        <v>28</v>
      </c>
      <c r="M32" s="6" t="s">
        <v>28</v>
      </c>
      <c r="N32" s="1">
        <v>6</v>
      </c>
      <c r="O32" s="1">
        <v>95</v>
      </c>
      <c r="P32" s="5">
        <f t="shared" si="2"/>
        <v>89</v>
      </c>
      <c r="Q32" s="1">
        <v>5334</v>
      </c>
      <c r="R32" s="1">
        <v>4335</v>
      </c>
      <c r="S32" s="10">
        <v>3814</v>
      </c>
      <c r="T32">
        <v>1</v>
      </c>
      <c r="U32" s="1" t="s">
        <v>24</v>
      </c>
    </row>
    <row r="33" spans="1:24" x14ac:dyDescent="0.2">
      <c r="A33" s="1" t="s">
        <v>60</v>
      </c>
      <c r="B33" s="1">
        <v>34</v>
      </c>
      <c r="C33" s="1">
        <v>470.56200000000001</v>
      </c>
      <c r="D33" s="2">
        <f t="shared" si="0"/>
        <v>0.31370799999999999</v>
      </c>
      <c r="E33" s="3">
        <v>45838</v>
      </c>
      <c r="F33" s="4">
        <v>45834</v>
      </c>
      <c r="G33" s="5">
        <f t="shared" si="1"/>
        <v>4</v>
      </c>
      <c r="H33" s="1" t="s">
        <v>18</v>
      </c>
      <c r="I33" s="1">
        <v>60</v>
      </c>
      <c r="J33" s="1">
        <v>106</v>
      </c>
      <c r="K33" s="15" t="s">
        <v>238</v>
      </c>
      <c r="L33" s="14" t="s">
        <v>240</v>
      </c>
      <c r="M33" s="6" t="s">
        <v>28</v>
      </c>
      <c r="N33" s="1">
        <v>7</v>
      </c>
      <c r="O33" s="1">
        <v>60</v>
      </c>
      <c r="P33" s="5">
        <f t="shared" si="2"/>
        <v>53</v>
      </c>
      <c r="Q33" s="1">
        <v>3176</v>
      </c>
      <c r="R33" s="1">
        <v>2049</v>
      </c>
      <c r="S33" s="10">
        <v>1883</v>
      </c>
      <c r="U33" s="1" t="s">
        <v>24</v>
      </c>
    </row>
    <row r="34" spans="1:24" x14ac:dyDescent="0.2">
      <c r="A34" s="1" t="s">
        <v>61</v>
      </c>
      <c r="B34" s="1">
        <v>35</v>
      </c>
      <c r="C34" s="1">
        <v>470.05200000000002</v>
      </c>
      <c r="D34" s="2">
        <f t="shared" si="0"/>
        <v>0.31336800000000004</v>
      </c>
      <c r="E34" s="3">
        <v>45838</v>
      </c>
      <c r="F34" s="4">
        <v>45834</v>
      </c>
      <c r="G34" s="5">
        <f t="shared" si="1"/>
        <v>4</v>
      </c>
      <c r="H34" s="1" t="s">
        <v>18</v>
      </c>
      <c r="I34" s="1">
        <v>60</v>
      </c>
      <c r="J34" s="1">
        <v>154</v>
      </c>
      <c r="K34" s="11" t="s">
        <v>237</v>
      </c>
      <c r="L34" s="6" t="s">
        <v>28</v>
      </c>
      <c r="M34" s="6" t="s">
        <v>28</v>
      </c>
      <c r="N34" s="1">
        <v>6</v>
      </c>
      <c r="O34" s="1">
        <v>165</v>
      </c>
      <c r="P34" s="5">
        <f t="shared" si="2"/>
        <v>159</v>
      </c>
      <c r="Q34" s="1">
        <v>9530</v>
      </c>
      <c r="R34" s="1">
        <v>8457</v>
      </c>
      <c r="S34" s="10">
        <v>8043</v>
      </c>
      <c r="T34">
        <v>3</v>
      </c>
      <c r="U34" s="1" t="s">
        <v>24</v>
      </c>
    </row>
    <row r="35" spans="1:24" x14ac:dyDescent="0.2">
      <c r="A35" s="1" t="s">
        <v>62</v>
      </c>
      <c r="B35" s="1">
        <v>36</v>
      </c>
      <c r="C35" s="1">
        <v>471.17899999999997</v>
      </c>
      <c r="D35" s="2">
        <f t="shared" si="0"/>
        <v>0.31411933333333331</v>
      </c>
      <c r="E35" s="3">
        <v>45838</v>
      </c>
      <c r="F35" s="4">
        <v>45834</v>
      </c>
      <c r="G35" s="5">
        <f t="shared" si="1"/>
        <v>4</v>
      </c>
      <c r="H35" s="1" t="s">
        <v>18</v>
      </c>
      <c r="I35" s="1">
        <v>60</v>
      </c>
      <c r="J35" s="1">
        <v>578</v>
      </c>
      <c r="K35" s="11" t="s">
        <v>237</v>
      </c>
      <c r="L35" s="6" t="s">
        <v>28</v>
      </c>
      <c r="M35" s="6" t="s">
        <v>28</v>
      </c>
      <c r="N35" s="1">
        <v>6</v>
      </c>
      <c r="O35" s="1">
        <v>215</v>
      </c>
      <c r="P35" s="5">
        <f t="shared" si="2"/>
        <v>209</v>
      </c>
      <c r="Q35" s="1">
        <v>12527</v>
      </c>
      <c r="R35" s="1">
        <v>11470</v>
      </c>
      <c r="S35" s="10">
        <v>10434</v>
      </c>
      <c r="T35">
        <v>2</v>
      </c>
      <c r="U35" s="1" t="s">
        <v>24</v>
      </c>
    </row>
    <row r="36" spans="1:24" x14ac:dyDescent="0.2">
      <c r="A36" s="1" t="s">
        <v>63</v>
      </c>
      <c r="B36" s="1">
        <v>37</v>
      </c>
      <c r="C36" s="1">
        <v>470.27199999999999</v>
      </c>
      <c r="D36" s="2">
        <f t="shared" si="0"/>
        <v>0.31351466666666666</v>
      </c>
      <c r="E36" s="3">
        <v>45838</v>
      </c>
      <c r="F36" s="4">
        <v>45834</v>
      </c>
      <c r="G36" s="5">
        <f t="shared" si="1"/>
        <v>4</v>
      </c>
      <c r="H36" s="1" t="s">
        <v>18</v>
      </c>
      <c r="I36" s="1">
        <v>60</v>
      </c>
      <c r="J36" s="1">
        <v>270</v>
      </c>
      <c r="K36" s="11" t="s">
        <v>237</v>
      </c>
      <c r="L36" s="6" t="s">
        <v>28</v>
      </c>
      <c r="M36" s="6" t="s">
        <v>28</v>
      </c>
      <c r="N36" s="1">
        <v>6</v>
      </c>
      <c r="O36" s="1">
        <v>255</v>
      </c>
      <c r="P36" s="5">
        <f t="shared" si="2"/>
        <v>249</v>
      </c>
      <c r="Q36" s="1">
        <v>14925</v>
      </c>
      <c r="R36" s="1">
        <v>14037</v>
      </c>
      <c r="S36" s="10">
        <v>13057</v>
      </c>
      <c r="T36">
        <v>2</v>
      </c>
      <c r="U36" s="1" t="s">
        <v>24</v>
      </c>
    </row>
    <row r="37" spans="1:24" x14ac:dyDescent="0.2">
      <c r="A37" s="1" t="s">
        <v>64</v>
      </c>
      <c r="B37" s="1">
        <v>38</v>
      </c>
      <c r="C37" s="1">
        <v>470.15300000000002</v>
      </c>
      <c r="D37" s="2">
        <f t="shared" si="0"/>
        <v>0.31343533333333334</v>
      </c>
      <c r="E37" s="3">
        <v>45838</v>
      </c>
      <c r="F37" s="4">
        <v>45834</v>
      </c>
      <c r="G37" s="5">
        <f t="shared" si="1"/>
        <v>4</v>
      </c>
      <c r="H37" s="1" t="s">
        <v>18</v>
      </c>
      <c r="I37" s="1">
        <v>60</v>
      </c>
      <c r="J37" s="1">
        <v>69</v>
      </c>
      <c r="K37" s="11" t="s">
        <v>237</v>
      </c>
      <c r="L37" s="6" t="s">
        <v>28</v>
      </c>
      <c r="M37" s="6" t="s">
        <v>28</v>
      </c>
      <c r="N37" s="1">
        <v>7</v>
      </c>
      <c r="O37" s="1">
        <v>55</v>
      </c>
      <c r="P37" s="5">
        <f t="shared" si="2"/>
        <v>48</v>
      </c>
      <c r="Q37" s="1">
        <v>2877</v>
      </c>
      <c r="R37" s="1">
        <v>1841</v>
      </c>
      <c r="S37" s="10">
        <v>1219</v>
      </c>
      <c r="T37">
        <v>1</v>
      </c>
      <c r="U37" s="1" t="s">
        <v>24</v>
      </c>
    </row>
    <row r="38" spans="1:24" x14ac:dyDescent="0.2">
      <c r="A38" s="1" t="s">
        <v>65</v>
      </c>
      <c r="B38" s="1">
        <v>39</v>
      </c>
      <c r="C38" s="1">
        <v>471.17899999999997</v>
      </c>
      <c r="D38" s="2">
        <f t="shared" si="0"/>
        <v>0.31411933333333331</v>
      </c>
      <c r="E38" s="3">
        <v>45838</v>
      </c>
      <c r="F38" s="4">
        <v>45834</v>
      </c>
      <c r="G38" s="5">
        <f t="shared" si="1"/>
        <v>4</v>
      </c>
      <c r="H38" s="1" t="s">
        <v>18</v>
      </c>
      <c r="I38" s="1">
        <v>60</v>
      </c>
      <c r="J38" s="1">
        <v>65</v>
      </c>
      <c r="K38" s="15" t="s">
        <v>238</v>
      </c>
      <c r="L38" s="14" t="s">
        <v>23</v>
      </c>
      <c r="M38" s="6" t="s">
        <v>23</v>
      </c>
      <c r="N38" s="1">
        <v>19</v>
      </c>
      <c r="O38" s="1">
        <v>55</v>
      </c>
      <c r="P38" s="5">
        <f t="shared" si="2"/>
        <v>36</v>
      </c>
      <c r="Q38" s="1">
        <v>2157</v>
      </c>
      <c r="R38" s="1">
        <v>1030</v>
      </c>
      <c r="S38" s="10">
        <v>928</v>
      </c>
      <c r="T38">
        <v>2</v>
      </c>
      <c r="U38" s="1" t="s">
        <v>24</v>
      </c>
    </row>
    <row r="39" spans="1:24" x14ac:dyDescent="0.2">
      <c r="A39" s="1" t="s">
        <v>66</v>
      </c>
      <c r="B39" s="1">
        <v>41</v>
      </c>
      <c r="C39" s="1">
        <v>473.27100000000002</v>
      </c>
      <c r="D39" s="2">
        <f t="shared" si="0"/>
        <v>0.31551400000000002</v>
      </c>
      <c r="E39" s="3">
        <v>45838</v>
      </c>
      <c r="F39" s="4">
        <v>45834</v>
      </c>
      <c r="G39" s="5">
        <f t="shared" si="1"/>
        <v>4</v>
      </c>
      <c r="H39" s="1" t="s">
        <v>18</v>
      </c>
      <c r="I39" s="1">
        <v>60</v>
      </c>
      <c r="J39" s="1">
        <v>60</v>
      </c>
      <c r="K39" s="11" t="s">
        <v>237</v>
      </c>
      <c r="L39" s="6" t="s">
        <v>28</v>
      </c>
      <c r="M39" s="6" t="s">
        <v>28</v>
      </c>
      <c r="N39" s="1">
        <v>7</v>
      </c>
      <c r="O39" s="1">
        <v>50</v>
      </c>
      <c r="P39" s="5">
        <f t="shared" si="2"/>
        <v>43</v>
      </c>
      <c r="Q39" s="1">
        <v>2577</v>
      </c>
      <c r="R39" s="1">
        <v>1506</v>
      </c>
      <c r="S39" s="10">
        <v>1154</v>
      </c>
      <c r="T39">
        <v>2</v>
      </c>
      <c r="U39" s="1" t="s">
        <v>24</v>
      </c>
    </row>
    <row r="40" spans="1:24" x14ac:dyDescent="0.2">
      <c r="A40" s="1" t="s">
        <v>67</v>
      </c>
      <c r="B40" s="1">
        <v>42</v>
      </c>
      <c r="C40" s="1">
        <v>473.66500000000002</v>
      </c>
      <c r="D40" s="2">
        <f t="shared" si="0"/>
        <v>0.31577666666666671</v>
      </c>
      <c r="E40" s="3">
        <v>45838</v>
      </c>
      <c r="F40" s="4">
        <v>45834</v>
      </c>
      <c r="G40" s="5">
        <f t="shared" si="1"/>
        <v>4</v>
      </c>
      <c r="H40" s="1" t="s">
        <v>18</v>
      </c>
      <c r="I40" s="1">
        <v>60</v>
      </c>
      <c r="J40" s="1">
        <v>122</v>
      </c>
      <c r="K40" s="11" t="s">
        <v>237</v>
      </c>
      <c r="L40" s="6" t="s">
        <v>28</v>
      </c>
      <c r="M40" s="6" t="s">
        <v>28</v>
      </c>
      <c r="N40" s="1">
        <v>6</v>
      </c>
      <c r="O40" s="1">
        <v>105</v>
      </c>
      <c r="P40" s="5">
        <f t="shared" si="2"/>
        <v>99</v>
      </c>
      <c r="Q40" s="1">
        <v>5934</v>
      </c>
      <c r="R40" s="1">
        <v>4941</v>
      </c>
      <c r="S40" s="10">
        <v>4147</v>
      </c>
      <c r="T40">
        <v>2</v>
      </c>
      <c r="U40" s="1" t="s">
        <v>24</v>
      </c>
    </row>
    <row r="41" spans="1:24" x14ac:dyDescent="0.2">
      <c r="A41" s="1" t="s">
        <v>68</v>
      </c>
      <c r="B41" s="1">
        <v>43</v>
      </c>
      <c r="C41" s="1">
        <v>475.05900000000003</v>
      </c>
      <c r="D41" s="2">
        <f t="shared" si="0"/>
        <v>0.31670600000000004</v>
      </c>
      <c r="E41" s="3">
        <v>45838</v>
      </c>
      <c r="F41" s="4">
        <v>45834</v>
      </c>
      <c r="G41" s="5">
        <f t="shared" si="1"/>
        <v>4</v>
      </c>
      <c r="H41" s="1" t="s">
        <v>18</v>
      </c>
      <c r="I41" s="1">
        <v>60</v>
      </c>
      <c r="J41" s="1">
        <v>123</v>
      </c>
      <c r="K41" s="11" t="s">
        <v>237</v>
      </c>
      <c r="L41" s="6" t="s">
        <v>19</v>
      </c>
      <c r="M41" s="6" t="s">
        <v>28</v>
      </c>
      <c r="N41" s="1">
        <v>5</v>
      </c>
      <c r="O41" s="1">
        <v>120</v>
      </c>
      <c r="P41" s="5">
        <f t="shared" si="2"/>
        <v>115</v>
      </c>
      <c r="Q41" s="1">
        <v>6893</v>
      </c>
      <c r="R41" s="1">
        <v>5923</v>
      </c>
      <c r="S41" s="10">
        <v>5764</v>
      </c>
      <c r="T41">
        <v>1</v>
      </c>
      <c r="U41" s="1" t="s">
        <v>24</v>
      </c>
    </row>
    <row r="42" spans="1:24" x14ac:dyDescent="0.2">
      <c r="A42" s="1" t="s">
        <v>69</v>
      </c>
      <c r="B42" s="1">
        <v>44</v>
      </c>
      <c r="C42" s="1">
        <v>479.017</v>
      </c>
      <c r="D42" s="2">
        <f t="shared" si="0"/>
        <v>0.31934466666666667</v>
      </c>
      <c r="E42" s="3">
        <v>45838</v>
      </c>
      <c r="F42" s="4">
        <v>45834</v>
      </c>
      <c r="G42" s="5">
        <f t="shared" si="1"/>
        <v>4</v>
      </c>
      <c r="H42" s="1" t="s">
        <v>18</v>
      </c>
      <c r="I42" s="1">
        <v>60</v>
      </c>
      <c r="J42" s="1">
        <v>51</v>
      </c>
      <c r="K42" s="11" t="s">
        <v>237</v>
      </c>
      <c r="L42" s="6" t="s">
        <v>19</v>
      </c>
      <c r="M42" s="6" t="s">
        <v>19</v>
      </c>
      <c r="N42" s="1">
        <v>6</v>
      </c>
      <c r="O42" s="1">
        <v>40</v>
      </c>
      <c r="P42" s="5">
        <f t="shared" si="2"/>
        <v>34</v>
      </c>
      <c r="Q42" s="1">
        <v>2037</v>
      </c>
      <c r="R42" s="1">
        <v>1041</v>
      </c>
      <c r="S42" s="10">
        <v>644</v>
      </c>
      <c r="T42">
        <v>2</v>
      </c>
      <c r="U42" s="1" t="s">
        <v>24</v>
      </c>
    </row>
    <row r="43" spans="1:24" x14ac:dyDescent="0.2">
      <c r="A43" s="1" t="s">
        <v>70</v>
      </c>
      <c r="B43" s="1">
        <v>45</v>
      </c>
      <c r="C43" s="1">
        <v>474.03800000000001</v>
      </c>
      <c r="D43" s="2">
        <f t="shared" si="0"/>
        <v>0.31602533333333332</v>
      </c>
      <c r="E43" s="3">
        <v>45838</v>
      </c>
      <c r="F43" s="4">
        <v>45834</v>
      </c>
      <c r="G43" s="5">
        <f t="shared" si="1"/>
        <v>4</v>
      </c>
      <c r="H43" s="1" t="s">
        <v>18</v>
      </c>
      <c r="I43" s="1">
        <v>60</v>
      </c>
      <c r="J43" s="1">
        <v>116</v>
      </c>
      <c r="K43" s="15" t="s">
        <v>238</v>
      </c>
      <c r="L43" s="14" t="s">
        <v>240</v>
      </c>
      <c r="M43" s="6" t="s">
        <v>43</v>
      </c>
      <c r="N43" s="1">
        <v>6</v>
      </c>
      <c r="O43" s="1">
        <v>100</v>
      </c>
      <c r="P43" s="5">
        <f t="shared" si="2"/>
        <v>94</v>
      </c>
      <c r="Q43" s="1">
        <v>5634</v>
      </c>
      <c r="R43" s="1">
        <v>4563</v>
      </c>
      <c r="S43" s="10">
        <v>4029</v>
      </c>
      <c r="T43">
        <v>1</v>
      </c>
      <c r="U43" s="1" t="s">
        <v>24</v>
      </c>
    </row>
    <row r="44" spans="1:24" x14ac:dyDescent="0.2">
      <c r="A44" s="1" t="s">
        <v>71</v>
      </c>
      <c r="B44" s="1">
        <v>46</v>
      </c>
      <c r="C44" s="1">
        <v>474.23700000000002</v>
      </c>
      <c r="D44" s="2">
        <f t="shared" si="0"/>
        <v>0.31615799999999999</v>
      </c>
      <c r="E44" s="3">
        <v>45838</v>
      </c>
      <c r="F44" s="4">
        <v>45834</v>
      </c>
      <c r="G44" s="5">
        <f t="shared" si="1"/>
        <v>4</v>
      </c>
      <c r="H44" s="1" t="s">
        <v>18</v>
      </c>
      <c r="I44" s="1">
        <v>60</v>
      </c>
      <c r="J44" s="1">
        <v>198</v>
      </c>
      <c r="K44" s="11" t="s">
        <v>237</v>
      </c>
      <c r="L44" s="6" t="s">
        <v>28</v>
      </c>
      <c r="M44" s="6" t="s">
        <v>28</v>
      </c>
      <c r="N44" s="1">
        <v>6</v>
      </c>
      <c r="O44" s="1">
        <v>55</v>
      </c>
      <c r="P44" s="5">
        <f t="shared" si="2"/>
        <v>49</v>
      </c>
      <c r="Q44" s="1">
        <v>2937</v>
      </c>
      <c r="R44" s="1">
        <v>2009</v>
      </c>
      <c r="S44" s="10">
        <v>1715</v>
      </c>
      <c r="T44">
        <v>1</v>
      </c>
      <c r="U44" s="1" t="s">
        <v>24</v>
      </c>
    </row>
    <row r="45" spans="1:24" x14ac:dyDescent="0.2">
      <c r="A45" s="1" t="s">
        <v>72</v>
      </c>
      <c r="B45" s="1">
        <v>47</v>
      </c>
      <c r="C45" s="1">
        <v>476.08499999999998</v>
      </c>
      <c r="D45" s="2">
        <f t="shared" si="0"/>
        <v>0.31739000000000001</v>
      </c>
      <c r="E45" s="3">
        <v>45838</v>
      </c>
      <c r="F45" s="4">
        <v>45834</v>
      </c>
      <c r="G45" s="5">
        <f t="shared" si="1"/>
        <v>4</v>
      </c>
      <c r="H45" s="1" t="s">
        <v>18</v>
      </c>
      <c r="I45" s="1">
        <v>60</v>
      </c>
      <c r="J45" s="1">
        <v>111</v>
      </c>
      <c r="K45" s="11" t="s">
        <v>237</v>
      </c>
      <c r="L45" s="6" t="s">
        <v>28</v>
      </c>
      <c r="M45" s="6" t="s">
        <v>28</v>
      </c>
      <c r="N45" s="1">
        <v>7</v>
      </c>
      <c r="O45" s="1">
        <v>100</v>
      </c>
      <c r="P45" s="5">
        <f t="shared" si="2"/>
        <v>93</v>
      </c>
      <c r="Q45" s="1">
        <v>5574</v>
      </c>
      <c r="R45" s="1">
        <v>4602</v>
      </c>
      <c r="S45" s="10">
        <v>4289</v>
      </c>
      <c r="T45">
        <v>2</v>
      </c>
      <c r="U45" s="1" t="s">
        <v>24</v>
      </c>
    </row>
    <row r="46" spans="1:24" x14ac:dyDescent="0.2">
      <c r="A46" s="1" t="s">
        <v>73</v>
      </c>
      <c r="B46" s="1">
        <v>48</v>
      </c>
      <c r="C46" s="1">
        <v>475.20600000000002</v>
      </c>
      <c r="D46" s="2">
        <f t="shared" si="0"/>
        <v>0.31680400000000003</v>
      </c>
      <c r="E46" s="3">
        <v>45838</v>
      </c>
      <c r="F46" s="4">
        <v>45834</v>
      </c>
      <c r="G46" s="5">
        <f t="shared" si="1"/>
        <v>4</v>
      </c>
      <c r="H46" s="1" t="s">
        <v>18</v>
      </c>
      <c r="I46" s="1">
        <v>60</v>
      </c>
      <c r="J46" s="1">
        <v>155</v>
      </c>
      <c r="K46" s="15" t="s">
        <v>238</v>
      </c>
      <c r="L46" s="14" t="s">
        <v>23</v>
      </c>
      <c r="M46" s="6" t="s">
        <v>23</v>
      </c>
      <c r="N46" s="1">
        <v>6</v>
      </c>
      <c r="O46" s="1">
        <v>158</v>
      </c>
      <c r="P46" s="5">
        <f t="shared" si="2"/>
        <v>152</v>
      </c>
      <c r="Q46" s="1">
        <v>9110</v>
      </c>
      <c r="R46" s="1">
        <v>8091</v>
      </c>
      <c r="S46" s="10">
        <v>7990</v>
      </c>
      <c r="T46">
        <v>2</v>
      </c>
      <c r="U46" s="1" t="s">
        <v>24</v>
      </c>
    </row>
    <row r="47" spans="1:24" x14ac:dyDescent="0.2">
      <c r="A47" s="1" t="s">
        <v>74</v>
      </c>
      <c r="B47" s="1">
        <v>49</v>
      </c>
      <c r="C47" s="1">
        <v>490.03699999999998</v>
      </c>
      <c r="D47" s="2">
        <f t="shared" si="0"/>
        <v>0.32669133333333333</v>
      </c>
      <c r="E47" s="3">
        <v>45839</v>
      </c>
      <c r="F47" s="4">
        <v>45835</v>
      </c>
      <c r="G47" s="5">
        <f t="shared" si="1"/>
        <v>4</v>
      </c>
      <c r="H47" s="1" t="s">
        <v>18</v>
      </c>
      <c r="I47" s="1">
        <v>60</v>
      </c>
      <c r="J47" s="1">
        <v>432</v>
      </c>
      <c r="K47" s="11" t="s">
        <v>237</v>
      </c>
      <c r="L47" s="6" t="s">
        <v>28</v>
      </c>
      <c r="M47" s="6" t="s">
        <v>28</v>
      </c>
      <c r="N47" s="1">
        <v>5</v>
      </c>
      <c r="O47" s="1">
        <v>327</v>
      </c>
      <c r="P47" s="5">
        <f t="shared" si="2"/>
        <v>322</v>
      </c>
      <c r="Q47" s="1">
        <v>19300</v>
      </c>
      <c r="R47" s="1">
        <v>18382</v>
      </c>
      <c r="S47" s="10">
        <v>17783</v>
      </c>
      <c r="T47">
        <v>2</v>
      </c>
      <c r="U47" s="1" t="s">
        <v>20</v>
      </c>
      <c r="X47" s="1" t="s">
        <v>75</v>
      </c>
    </row>
    <row r="48" spans="1:24" x14ac:dyDescent="0.2">
      <c r="A48" s="1" t="s">
        <v>76</v>
      </c>
      <c r="B48" s="1">
        <v>50</v>
      </c>
      <c r="C48" s="1">
        <v>486</v>
      </c>
      <c r="D48" s="2">
        <f t="shared" si="0"/>
        <v>0.32400000000000001</v>
      </c>
      <c r="E48" s="3">
        <v>45839</v>
      </c>
      <c r="F48" s="4">
        <v>45835</v>
      </c>
      <c r="G48" s="5">
        <f t="shared" si="1"/>
        <v>4</v>
      </c>
      <c r="H48" s="1" t="s">
        <v>18</v>
      </c>
      <c r="I48" s="1">
        <v>60</v>
      </c>
      <c r="J48" s="1">
        <v>40</v>
      </c>
      <c r="K48" s="15" t="s">
        <v>238</v>
      </c>
      <c r="L48" s="14" t="s">
        <v>240</v>
      </c>
      <c r="M48" s="6" t="s">
        <v>43</v>
      </c>
      <c r="N48" s="1">
        <v>6</v>
      </c>
      <c r="O48" s="1">
        <v>30</v>
      </c>
      <c r="P48" s="5">
        <f t="shared" si="2"/>
        <v>24</v>
      </c>
      <c r="Q48" s="1">
        <v>1438</v>
      </c>
      <c r="R48" s="1">
        <v>417</v>
      </c>
      <c r="S48" s="10">
        <v>330</v>
      </c>
      <c r="T48">
        <v>1</v>
      </c>
      <c r="U48" s="1" t="s">
        <v>24</v>
      </c>
    </row>
    <row r="49" spans="1:24" x14ac:dyDescent="0.2">
      <c r="A49" s="1" t="s">
        <v>77</v>
      </c>
      <c r="B49" s="1">
        <v>51</v>
      </c>
      <c r="C49" s="1">
        <v>488.452</v>
      </c>
      <c r="D49" s="2">
        <f t="shared" si="0"/>
        <v>0.32563466666666668</v>
      </c>
      <c r="E49" s="3">
        <v>45839</v>
      </c>
      <c r="F49" s="4">
        <v>45835</v>
      </c>
      <c r="G49" s="5">
        <f t="shared" si="1"/>
        <v>4</v>
      </c>
      <c r="H49" s="1" t="s">
        <v>18</v>
      </c>
      <c r="I49" s="1">
        <v>60</v>
      </c>
      <c r="J49" s="1">
        <v>224</v>
      </c>
      <c r="K49" s="11" t="s">
        <v>237</v>
      </c>
      <c r="L49" s="6" t="s">
        <v>19</v>
      </c>
      <c r="M49" s="6" t="s">
        <v>19</v>
      </c>
      <c r="N49" s="1">
        <v>6</v>
      </c>
      <c r="O49" s="1">
        <v>65</v>
      </c>
      <c r="P49" s="5">
        <f>O49-N48</f>
        <v>59</v>
      </c>
      <c r="Q49" s="1">
        <v>3536</v>
      </c>
      <c r="R49" s="1">
        <v>2641</v>
      </c>
      <c r="S49" s="10">
        <v>2370</v>
      </c>
      <c r="T49">
        <v>3</v>
      </c>
      <c r="U49" s="1" t="s">
        <v>24</v>
      </c>
    </row>
    <row r="50" spans="1:24" x14ac:dyDescent="0.2">
      <c r="A50" s="1" t="s">
        <v>78</v>
      </c>
      <c r="B50" s="1">
        <v>52</v>
      </c>
      <c r="C50" s="1">
        <v>488.01600000000002</v>
      </c>
      <c r="D50" s="2">
        <f t="shared" si="0"/>
        <v>0.32534400000000002</v>
      </c>
      <c r="E50" s="3">
        <v>45839</v>
      </c>
      <c r="F50" s="4">
        <v>45835</v>
      </c>
      <c r="G50" s="5">
        <f t="shared" si="1"/>
        <v>4</v>
      </c>
      <c r="H50" s="1" t="s">
        <v>18</v>
      </c>
      <c r="I50" s="1">
        <v>60</v>
      </c>
      <c r="J50" s="1">
        <v>608</v>
      </c>
      <c r="K50" s="11" t="s">
        <v>237</v>
      </c>
      <c r="L50" s="6" t="s">
        <v>28</v>
      </c>
      <c r="M50" s="6" t="s">
        <v>28</v>
      </c>
      <c r="N50" s="1">
        <v>7</v>
      </c>
      <c r="O50" s="1">
        <v>572</v>
      </c>
      <c r="P50" s="5">
        <f t="shared" ref="P50:P192" si="3">O50-N50</f>
        <v>565</v>
      </c>
      <c r="Q50" s="1">
        <v>33866</v>
      </c>
      <c r="R50" s="1">
        <v>32950</v>
      </c>
      <c r="S50" s="10">
        <v>31597</v>
      </c>
      <c r="T50">
        <v>2</v>
      </c>
      <c r="U50" s="1" t="s">
        <v>24</v>
      </c>
    </row>
    <row r="51" spans="1:24" x14ac:dyDescent="0.2">
      <c r="A51" s="1" t="s">
        <v>80</v>
      </c>
      <c r="B51" s="1">
        <v>54</v>
      </c>
      <c r="C51" s="1">
        <v>487.14800000000002</v>
      </c>
      <c r="D51" s="2">
        <f t="shared" si="0"/>
        <v>0.32476533333333335</v>
      </c>
      <c r="E51" s="3">
        <v>45839</v>
      </c>
      <c r="F51" s="4">
        <v>45835</v>
      </c>
      <c r="G51" s="5">
        <f t="shared" si="1"/>
        <v>4</v>
      </c>
      <c r="H51" s="1" t="s">
        <v>18</v>
      </c>
      <c r="I51" s="1">
        <v>60</v>
      </c>
      <c r="J51" s="1">
        <v>495</v>
      </c>
      <c r="K51" s="11" t="s">
        <v>237</v>
      </c>
      <c r="L51" s="6" t="s">
        <v>19</v>
      </c>
      <c r="M51" s="6" t="s">
        <v>19</v>
      </c>
      <c r="N51" s="1">
        <v>6</v>
      </c>
      <c r="O51" s="1">
        <v>475</v>
      </c>
      <c r="P51" s="5">
        <f t="shared" si="3"/>
        <v>469</v>
      </c>
      <c r="Q51" s="1">
        <v>28111</v>
      </c>
      <c r="R51" s="1">
        <v>27037</v>
      </c>
      <c r="S51" s="10">
        <v>24842</v>
      </c>
      <c r="T51">
        <v>1</v>
      </c>
      <c r="U51" s="1" t="s">
        <v>24</v>
      </c>
    </row>
    <row r="52" spans="1:24" x14ac:dyDescent="0.2">
      <c r="A52" s="1" t="s">
        <v>81</v>
      </c>
      <c r="B52" s="1">
        <v>55</v>
      </c>
      <c r="C52" s="1">
        <v>489.10199999999998</v>
      </c>
      <c r="D52" s="2">
        <f t="shared" si="0"/>
        <v>0.32606799999999997</v>
      </c>
      <c r="E52" s="3">
        <v>45839</v>
      </c>
      <c r="F52" s="4">
        <v>45835</v>
      </c>
      <c r="G52" s="5">
        <f t="shared" si="1"/>
        <v>4</v>
      </c>
      <c r="H52" s="1" t="s">
        <v>18</v>
      </c>
      <c r="I52" s="1">
        <v>60</v>
      </c>
      <c r="J52" s="1">
        <v>42</v>
      </c>
      <c r="K52" s="11" t="s">
        <v>237</v>
      </c>
      <c r="L52" s="6" t="s">
        <v>19</v>
      </c>
      <c r="M52" s="6" t="s">
        <v>19</v>
      </c>
      <c r="N52" s="1">
        <v>5</v>
      </c>
      <c r="O52" s="1">
        <v>36</v>
      </c>
      <c r="P52" s="5">
        <f t="shared" si="3"/>
        <v>31</v>
      </c>
      <c r="Q52" s="1">
        <v>1858</v>
      </c>
      <c r="R52" s="1">
        <v>915</v>
      </c>
      <c r="S52" s="10">
        <v>776</v>
      </c>
      <c r="T52">
        <v>1</v>
      </c>
      <c r="U52" s="1" t="s">
        <v>24</v>
      </c>
    </row>
    <row r="53" spans="1:24" x14ac:dyDescent="0.2">
      <c r="A53" s="1" t="s">
        <v>82</v>
      </c>
      <c r="B53" s="1">
        <v>56</v>
      </c>
      <c r="C53" s="1">
        <v>488.29599999999999</v>
      </c>
      <c r="D53" s="2">
        <f t="shared" si="0"/>
        <v>0.32553066666666663</v>
      </c>
      <c r="E53" s="3">
        <v>45839</v>
      </c>
      <c r="F53" s="4">
        <v>45835</v>
      </c>
      <c r="G53" s="5">
        <f t="shared" si="1"/>
        <v>4</v>
      </c>
      <c r="H53" s="1" t="s">
        <v>18</v>
      </c>
      <c r="I53" s="1">
        <v>60</v>
      </c>
      <c r="J53" s="1">
        <v>48</v>
      </c>
      <c r="K53" s="11" t="s">
        <v>237</v>
      </c>
      <c r="L53" s="6" t="s">
        <v>19</v>
      </c>
      <c r="M53" s="6" t="s">
        <v>19</v>
      </c>
      <c r="N53" s="1">
        <v>6</v>
      </c>
      <c r="O53" s="1">
        <v>45</v>
      </c>
      <c r="P53" s="5">
        <f t="shared" si="3"/>
        <v>39</v>
      </c>
      <c r="Q53" s="1">
        <v>2337</v>
      </c>
      <c r="R53" s="1">
        <v>1441</v>
      </c>
      <c r="S53" s="10">
        <v>1313</v>
      </c>
      <c r="T53">
        <v>2</v>
      </c>
      <c r="U53" s="1" t="s">
        <v>24</v>
      </c>
    </row>
    <row r="54" spans="1:24" x14ac:dyDescent="0.2">
      <c r="A54" s="1" t="s">
        <v>83</v>
      </c>
      <c r="B54" s="1">
        <v>57</v>
      </c>
      <c r="C54" s="1">
        <v>489.12400000000002</v>
      </c>
      <c r="D54" s="2">
        <f t="shared" si="0"/>
        <v>0.32608266666666669</v>
      </c>
      <c r="E54" s="3">
        <v>45839</v>
      </c>
      <c r="F54" s="4">
        <v>45835</v>
      </c>
      <c r="G54" s="5">
        <f t="shared" si="1"/>
        <v>4</v>
      </c>
      <c r="H54" s="1" t="s">
        <v>18</v>
      </c>
      <c r="I54" s="1">
        <v>60</v>
      </c>
      <c r="J54" s="1">
        <v>225</v>
      </c>
      <c r="K54" s="11" t="s">
        <v>237</v>
      </c>
      <c r="L54" s="6" t="s">
        <v>28</v>
      </c>
      <c r="M54" s="6" t="s">
        <v>28</v>
      </c>
      <c r="N54" s="1">
        <v>9</v>
      </c>
      <c r="O54" s="1">
        <v>212</v>
      </c>
      <c r="P54" s="5">
        <f t="shared" si="3"/>
        <v>203</v>
      </c>
      <c r="Q54" s="1">
        <v>12167</v>
      </c>
      <c r="R54" s="1">
        <v>11182</v>
      </c>
      <c r="S54" s="10">
        <v>10590</v>
      </c>
      <c r="T54">
        <v>2</v>
      </c>
      <c r="U54" s="1" t="s">
        <v>20</v>
      </c>
      <c r="X54" s="1" t="s">
        <v>79</v>
      </c>
    </row>
    <row r="55" spans="1:24" x14ac:dyDescent="0.2">
      <c r="A55" s="1" t="s">
        <v>84</v>
      </c>
      <c r="B55" s="1">
        <v>58</v>
      </c>
      <c r="C55" s="1">
        <v>487.23099999999999</v>
      </c>
      <c r="D55" s="2">
        <f t="shared" si="0"/>
        <v>0.32482066666666665</v>
      </c>
      <c r="E55" s="3">
        <v>45839</v>
      </c>
      <c r="F55" s="4">
        <v>45835</v>
      </c>
      <c r="G55" s="5">
        <f t="shared" si="1"/>
        <v>4</v>
      </c>
      <c r="H55" s="1" t="s">
        <v>18</v>
      </c>
      <c r="I55" s="1">
        <v>60</v>
      </c>
      <c r="J55" s="1">
        <v>252</v>
      </c>
      <c r="K55" s="11" t="s">
        <v>237</v>
      </c>
      <c r="L55" s="6" t="s">
        <v>28</v>
      </c>
      <c r="M55" s="6" t="s">
        <v>28</v>
      </c>
      <c r="N55" s="1">
        <v>6</v>
      </c>
      <c r="O55" s="1">
        <v>45</v>
      </c>
      <c r="P55" s="5">
        <f t="shared" si="3"/>
        <v>39</v>
      </c>
      <c r="Q55" s="1">
        <v>2337</v>
      </c>
      <c r="R55" s="1">
        <v>1352</v>
      </c>
      <c r="S55" s="10">
        <v>1174</v>
      </c>
      <c r="T55">
        <v>1</v>
      </c>
      <c r="U55" s="1" t="s">
        <v>24</v>
      </c>
    </row>
    <row r="56" spans="1:24" x14ac:dyDescent="0.2">
      <c r="A56" s="1" t="s">
        <v>85</v>
      </c>
      <c r="B56" s="1">
        <v>59</v>
      </c>
      <c r="C56" s="1">
        <v>488.12400000000002</v>
      </c>
      <c r="D56" s="2">
        <f t="shared" si="0"/>
        <v>0.32541600000000004</v>
      </c>
      <c r="E56" s="3">
        <v>45839</v>
      </c>
      <c r="F56" s="4">
        <v>45835</v>
      </c>
      <c r="G56" s="5">
        <f t="shared" si="1"/>
        <v>4</v>
      </c>
      <c r="H56" s="1" t="s">
        <v>18</v>
      </c>
      <c r="I56" s="1">
        <v>60</v>
      </c>
      <c r="J56" s="1">
        <v>184</v>
      </c>
      <c r="K56" s="11" t="s">
        <v>237</v>
      </c>
      <c r="L56" s="6" t="s">
        <v>237</v>
      </c>
      <c r="M56" s="6" t="s">
        <v>28</v>
      </c>
      <c r="N56" s="1">
        <v>10</v>
      </c>
      <c r="O56" s="1">
        <v>138</v>
      </c>
      <c r="P56" s="5">
        <f t="shared" si="3"/>
        <v>128</v>
      </c>
      <c r="Q56" s="1">
        <v>7672</v>
      </c>
      <c r="R56" s="1">
        <v>6730</v>
      </c>
      <c r="S56" s="10">
        <v>6300</v>
      </c>
      <c r="T56">
        <v>1</v>
      </c>
      <c r="U56" s="1" t="s">
        <v>24</v>
      </c>
    </row>
    <row r="57" spans="1:24" x14ac:dyDescent="0.2">
      <c r="A57" s="1" t="s">
        <v>86</v>
      </c>
      <c r="B57" s="1">
        <v>60</v>
      </c>
      <c r="C57" s="1">
        <v>489.173</v>
      </c>
      <c r="D57" s="2">
        <f t="shared" si="0"/>
        <v>0.32611533333333331</v>
      </c>
      <c r="E57" s="3">
        <v>45839</v>
      </c>
      <c r="F57" s="4">
        <v>45835</v>
      </c>
      <c r="G57" s="5">
        <f t="shared" si="1"/>
        <v>4</v>
      </c>
      <c r="H57" s="1" t="s">
        <v>18</v>
      </c>
      <c r="I57" s="1">
        <v>60</v>
      </c>
      <c r="J57" s="1">
        <v>203</v>
      </c>
      <c r="K57" s="15" t="s">
        <v>238</v>
      </c>
      <c r="L57" s="14" t="s">
        <v>23</v>
      </c>
      <c r="M57" s="6" t="s">
        <v>23</v>
      </c>
      <c r="N57" s="1">
        <v>6</v>
      </c>
      <c r="O57" s="1">
        <v>202</v>
      </c>
      <c r="P57" s="5">
        <f t="shared" si="3"/>
        <v>196</v>
      </c>
      <c r="Q57" s="1">
        <v>11748</v>
      </c>
      <c r="R57" s="1">
        <v>10750</v>
      </c>
      <c r="S57" s="10">
        <v>9508</v>
      </c>
      <c r="T57">
        <v>1</v>
      </c>
      <c r="U57" s="1" t="s">
        <v>24</v>
      </c>
    </row>
    <row r="58" spans="1:24" x14ac:dyDescent="0.2">
      <c r="A58" s="1" t="s">
        <v>87</v>
      </c>
      <c r="B58" s="1">
        <v>61</v>
      </c>
      <c r="C58" s="1">
        <v>488.02600000000001</v>
      </c>
      <c r="D58" s="2">
        <f t="shared" si="0"/>
        <v>0.32535066666666668</v>
      </c>
      <c r="E58" s="3">
        <v>45840</v>
      </c>
      <c r="F58" s="4">
        <v>45836</v>
      </c>
      <c r="G58" s="5">
        <f t="shared" si="1"/>
        <v>4</v>
      </c>
      <c r="H58" s="1" t="s">
        <v>18</v>
      </c>
      <c r="I58" s="1">
        <v>60</v>
      </c>
      <c r="J58" s="1">
        <v>76</v>
      </c>
      <c r="K58" s="11" t="s">
        <v>237</v>
      </c>
      <c r="L58" s="6" t="s">
        <v>19</v>
      </c>
      <c r="M58" s="6" t="s">
        <v>19</v>
      </c>
      <c r="N58" s="1">
        <v>5</v>
      </c>
      <c r="O58" s="1">
        <v>38</v>
      </c>
      <c r="P58" s="5">
        <f t="shared" si="3"/>
        <v>33</v>
      </c>
      <c r="Q58" s="1">
        <v>1978</v>
      </c>
      <c r="R58" s="1">
        <v>1043</v>
      </c>
      <c r="S58" s="10">
        <v>902</v>
      </c>
      <c r="T58">
        <v>2</v>
      </c>
      <c r="U58" s="1" t="s">
        <v>24</v>
      </c>
    </row>
    <row r="59" spans="1:24" x14ac:dyDescent="0.2">
      <c r="A59" s="1" t="s">
        <v>88</v>
      </c>
      <c r="B59" s="1">
        <v>62</v>
      </c>
      <c r="C59" s="1">
        <v>488.08300000000003</v>
      </c>
      <c r="D59" s="2">
        <f t="shared" si="0"/>
        <v>0.32538866666666666</v>
      </c>
      <c r="E59" s="3">
        <v>45840</v>
      </c>
      <c r="F59" s="4">
        <v>45836</v>
      </c>
      <c r="G59" s="5">
        <f t="shared" si="1"/>
        <v>4</v>
      </c>
      <c r="H59" s="1" t="s">
        <v>18</v>
      </c>
      <c r="I59" s="1">
        <v>60</v>
      </c>
      <c r="J59" s="1">
        <v>63</v>
      </c>
      <c r="K59" s="15" t="s">
        <v>238</v>
      </c>
      <c r="L59" s="14" t="s">
        <v>23</v>
      </c>
      <c r="M59" s="6" t="s">
        <v>23</v>
      </c>
      <c r="N59" s="1">
        <v>5</v>
      </c>
      <c r="O59" s="1">
        <v>33</v>
      </c>
      <c r="P59" s="5">
        <f t="shared" si="3"/>
        <v>28</v>
      </c>
      <c r="Q59" s="1">
        <v>1678</v>
      </c>
      <c r="R59" s="1">
        <v>701</v>
      </c>
      <c r="S59" s="10">
        <v>616</v>
      </c>
      <c r="T59">
        <v>2</v>
      </c>
      <c r="U59" s="1" t="s">
        <v>24</v>
      </c>
    </row>
    <row r="60" spans="1:24" x14ac:dyDescent="0.2">
      <c r="A60" s="1" t="s">
        <v>89</v>
      </c>
      <c r="B60" s="1">
        <v>63</v>
      </c>
      <c r="C60" s="1">
        <v>489.02600000000001</v>
      </c>
      <c r="D60" s="2">
        <f t="shared" si="0"/>
        <v>0.32601733333333333</v>
      </c>
      <c r="E60" s="3">
        <v>45840</v>
      </c>
      <c r="F60" s="4">
        <v>45836</v>
      </c>
      <c r="G60" s="5">
        <f t="shared" si="1"/>
        <v>4</v>
      </c>
      <c r="H60" s="1" t="s">
        <v>18</v>
      </c>
      <c r="I60" s="1">
        <v>60</v>
      </c>
      <c r="J60" s="1">
        <v>75</v>
      </c>
      <c r="K60" s="15" t="s">
        <v>238</v>
      </c>
      <c r="L60" s="14" t="s">
        <v>23</v>
      </c>
      <c r="M60" s="6" t="s">
        <v>23</v>
      </c>
      <c r="N60" s="1">
        <v>5</v>
      </c>
      <c r="O60" s="1">
        <v>62</v>
      </c>
      <c r="P60" s="5">
        <f t="shared" si="3"/>
        <v>57</v>
      </c>
      <c r="Q60" s="1">
        <v>3416</v>
      </c>
      <c r="R60" s="1">
        <v>2492</v>
      </c>
      <c r="S60" s="10">
        <v>2289</v>
      </c>
      <c r="T60">
        <v>2</v>
      </c>
      <c r="U60" s="1" t="s">
        <v>24</v>
      </c>
    </row>
    <row r="61" spans="1:24" x14ac:dyDescent="0.2">
      <c r="A61" s="1" t="s">
        <v>90</v>
      </c>
      <c r="B61" s="1">
        <v>64</v>
      </c>
      <c r="C61" s="1">
        <v>488.29599999999999</v>
      </c>
      <c r="D61" s="2">
        <f t="shared" si="0"/>
        <v>0.32553066666666663</v>
      </c>
      <c r="E61" s="3">
        <v>45840</v>
      </c>
      <c r="F61" s="4">
        <v>45836</v>
      </c>
      <c r="G61" s="5">
        <f t="shared" si="1"/>
        <v>4</v>
      </c>
      <c r="H61" s="1" t="s">
        <v>18</v>
      </c>
      <c r="I61" s="1">
        <v>60</v>
      </c>
      <c r="J61" s="1">
        <v>103</v>
      </c>
      <c r="K61" s="11" t="s">
        <v>237</v>
      </c>
      <c r="L61" s="6" t="s">
        <v>28</v>
      </c>
      <c r="M61" s="6" t="s">
        <v>28</v>
      </c>
      <c r="N61" s="1">
        <v>5</v>
      </c>
      <c r="O61" s="1">
        <v>95</v>
      </c>
      <c r="P61" s="5">
        <f t="shared" si="3"/>
        <v>90</v>
      </c>
      <c r="Q61" s="1">
        <v>5394</v>
      </c>
      <c r="R61" s="1">
        <v>4395</v>
      </c>
      <c r="S61" s="10">
        <v>3913</v>
      </c>
      <c r="T61">
        <v>2</v>
      </c>
      <c r="U61" s="1" t="s">
        <v>24</v>
      </c>
    </row>
    <row r="62" spans="1:24" x14ac:dyDescent="0.2">
      <c r="A62" s="1" t="s">
        <v>91</v>
      </c>
      <c r="B62" s="1">
        <v>65</v>
      </c>
      <c r="C62" s="1">
        <v>488.262</v>
      </c>
      <c r="D62" s="2">
        <f t="shared" si="0"/>
        <v>0.32550800000000002</v>
      </c>
      <c r="E62" s="3">
        <v>45840</v>
      </c>
      <c r="F62" s="4">
        <v>45836</v>
      </c>
      <c r="G62" s="5">
        <f t="shared" si="1"/>
        <v>4</v>
      </c>
      <c r="H62" s="1" t="s">
        <v>18</v>
      </c>
      <c r="I62" s="1">
        <v>60</v>
      </c>
      <c r="J62" s="1">
        <v>72</v>
      </c>
      <c r="K62" s="15" t="s">
        <v>238</v>
      </c>
      <c r="L62" s="14" t="s">
        <v>240</v>
      </c>
      <c r="M62" s="6" t="s">
        <v>43</v>
      </c>
      <c r="N62" s="1">
        <v>5</v>
      </c>
      <c r="O62" s="1">
        <v>50</v>
      </c>
      <c r="P62" s="5">
        <f t="shared" si="3"/>
        <v>45</v>
      </c>
      <c r="Q62" s="1">
        <v>2697</v>
      </c>
      <c r="R62" s="1">
        <v>1822</v>
      </c>
      <c r="S62" s="10">
        <v>1764</v>
      </c>
      <c r="T62">
        <v>1</v>
      </c>
      <c r="U62" s="1" t="s">
        <v>24</v>
      </c>
    </row>
    <row r="63" spans="1:24" x14ac:dyDescent="0.2">
      <c r="A63" s="1" t="s">
        <v>92</v>
      </c>
      <c r="B63" s="1">
        <v>66</v>
      </c>
      <c r="C63" s="1">
        <v>488.23</v>
      </c>
      <c r="D63" s="2">
        <f t="shared" si="0"/>
        <v>0.3254866666666667</v>
      </c>
      <c r="E63" s="3">
        <v>45840</v>
      </c>
      <c r="F63" s="4">
        <v>45836</v>
      </c>
      <c r="G63" s="5">
        <f t="shared" si="1"/>
        <v>4</v>
      </c>
      <c r="H63" s="1" t="s">
        <v>18</v>
      </c>
      <c r="I63" s="1">
        <v>60</v>
      </c>
      <c r="J63" s="1">
        <v>65</v>
      </c>
      <c r="K63" s="11" t="s">
        <v>237</v>
      </c>
      <c r="L63" s="6" t="s">
        <v>28</v>
      </c>
      <c r="M63" s="6" t="s">
        <v>28</v>
      </c>
      <c r="N63" s="1">
        <v>5</v>
      </c>
      <c r="O63" s="1">
        <v>60</v>
      </c>
      <c r="P63" s="5">
        <f t="shared" si="3"/>
        <v>55</v>
      </c>
      <c r="Q63" s="1">
        <v>3296</v>
      </c>
      <c r="R63" s="1">
        <v>2123</v>
      </c>
      <c r="S63" s="10">
        <v>1935</v>
      </c>
      <c r="T63">
        <v>1</v>
      </c>
      <c r="U63" s="1" t="s">
        <v>20</v>
      </c>
      <c r="X63" s="1" t="s">
        <v>93</v>
      </c>
    </row>
    <row r="64" spans="1:24" x14ac:dyDescent="0.2">
      <c r="A64" s="1" t="s">
        <v>94</v>
      </c>
      <c r="B64" s="1">
        <v>67</v>
      </c>
      <c r="C64" s="1">
        <v>488.173</v>
      </c>
      <c r="D64" s="2">
        <f t="shared" si="0"/>
        <v>0.32544866666666666</v>
      </c>
      <c r="E64" s="3">
        <v>45840</v>
      </c>
      <c r="F64" s="4">
        <v>45836</v>
      </c>
      <c r="G64" s="5">
        <f t="shared" si="1"/>
        <v>4</v>
      </c>
      <c r="H64" s="1" t="s">
        <v>18</v>
      </c>
      <c r="I64" s="1">
        <v>60</v>
      </c>
      <c r="J64" s="1">
        <v>71</v>
      </c>
      <c r="K64" s="11" t="s">
        <v>237</v>
      </c>
      <c r="L64" s="6" t="s">
        <v>19</v>
      </c>
      <c r="M64" s="6" t="s">
        <v>19</v>
      </c>
      <c r="N64" s="1">
        <v>4</v>
      </c>
      <c r="O64" s="1">
        <v>70</v>
      </c>
      <c r="P64" s="5">
        <f t="shared" si="3"/>
        <v>66</v>
      </c>
      <c r="Q64" s="1">
        <v>3956</v>
      </c>
      <c r="R64" s="1">
        <v>3059</v>
      </c>
      <c r="S64" s="10">
        <v>2727</v>
      </c>
      <c r="T64">
        <v>2</v>
      </c>
      <c r="U64" s="1" t="s">
        <v>20</v>
      </c>
      <c r="X64" s="1" t="s">
        <v>93</v>
      </c>
    </row>
    <row r="65" spans="1:24" x14ac:dyDescent="0.2">
      <c r="A65" s="1" t="s">
        <v>95</v>
      </c>
      <c r="B65" s="1">
        <v>68</v>
      </c>
      <c r="C65" s="1">
        <v>487.03699999999998</v>
      </c>
      <c r="D65" s="2">
        <f t="shared" si="0"/>
        <v>0.32469133333333333</v>
      </c>
      <c r="E65" s="3">
        <v>45840</v>
      </c>
      <c r="F65" s="4">
        <v>45836</v>
      </c>
      <c r="G65" s="5">
        <f t="shared" si="1"/>
        <v>4</v>
      </c>
      <c r="H65" s="1" t="s">
        <v>18</v>
      </c>
      <c r="I65" s="1">
        <v>60</v>
      </c>
      <c r="J65" s="1">
        <v>178</v>
      </c>
      <c r="K65" s="11" t="s">
        <v>237</v>
      </c>
      <c r="L65" s="6" t="s">
        <v>28</v>
      </c>
      <c r="M65" s="6" t="s">
        <v>28</v>
      </c>
      <c r="N65" s="1">
        <v>5</v>
      </c>
      <c r="O65" s="1">
        <v>105</v>
      </c>
      <c r="P65" s="5">
        <f t="shared" si="3"/>
        <v>100</v>
      </c>
      <c r="Q65" s="1">
        <v>5994</v>
      </c>
      <c r="R65" s="1">
        <v>5071</v>
      </c>
      <c r="S65" s="10">
        <v>4366</v>
      </c>
      <c r="T65">
        <v>2</v>
      </c>
      <c r="U65" s="1" t="s">
        <v>20</v>
      </c>
      <c r="X65" s="1" t="s">
        <v>93</v>
      </c>
    </row>
    <row r="66" spans="1:24" x14ac:dyDescent="0.2">
      <c r="A66" s="1" t="s">
        <v>96</v>
      </c>
      <c r="B66" s="1">
        <v>69</v>
      </c>
      <c r="C66" s="1">
        <v>487.00900000000001</v>
      </c>
      <c r="D66" s="2">
        <f t="shared" si="0"/>
        <v>0.32467266666666666</v>
      </c>
      <c r="E66" s="3">
        <v>45840</v>
      </c>
      <c r="F66" s="4">
        <v>45836</v>
      </c>
      <c r="G66" s="5">
        <f t="shared" si="1"/>
        <v>4</v>
      </c>
      <c r="H66" s="1" t="s">
        <v>18</v>
      </c>
      <c r="I66" s="1">
        <v>60</v>
      </c>
      <c r="J66" s="1">
        <v>75</v>
      </c>
      <c r="K66" s="11" t="s">
        <v>237</v>
      </c>
      <c r="L66" s="6" t="s">
        <v>28</v>
      </c>
      <c r="M66" s="6" t="s">
        <v>28</v>
      </c>
      <c r="N66" s="1">
        <v>6</v>
      </c>
      <c r="O66" s="1">
        <v>42</v>
      </c>
      <c r="P66" s="5">
        <f t="shared" si="3"/>
        <v>36</v>
      </c>
      <c r="Q66" s="1">
        <v>2157</v>
      </c>
      <c r="R66" s="1">
        <v>1225</v>
      </c>
      <c r="S66" s="10">
        <v>0</v>
      </c>
      <c r="T66">
        <v>2</v>
      </c>
      <c r="U66" s="1" t="s">
        <v>20</v>
      </c>
      <c r="X66" s="1" t="s">
        <v>93</v>
      </c>
    </row>
    <row r="67" spans="1:24" x14ac:dyDescent="0.2">
      <c r="A67" s="1" t="s">
        <v>97</v>
      </c>
      <c r="B67" s="1">
        <v>70</v>
      </c>
      <c r="C67" s="1">
        <v>486.00599999999997</v>
      </c>
      <c r="D67" s="2">
        <f t="shared" si="0"/>
        <v>0.32400399999999996</v>
      </c>
      <c r="E67" s="3">
        <v>45840</v>
      </c>
      <c r="F67" s="4">
        <v>45836</v>
      </c>
      <c r="G67" s="5">
        <f t="shared" si="1"/>
        <v>4</v>
      </c>
      <c r="H67" s="1" t="s">
        <v>18</v>
      </c>
      <c r="I67" s="1">
        <v>60</v>
      </c>
      <c r="J67" s="1">
        <v>138</v>
      </c>
      <c r="K67" s="11" t="s">
        <v>237</v>
      </c>
      <c r="L67" s="6" t="s">
        <v>19</v>
      </c>
      <c r="M67" s="6" t="s">
        <v>19</v>
      </c>
      <c r="N67" s="1">
        <v>17</v>
      </c>
      <c r="O67" s="1">
        <v>135</v>
      </c>
      <c r="P67" s="5">
        <f t="shared" si="3"/>
        <v>118</v>
      </c>
      <c r="Q67" s="1">
        <v>7072</v>
      </c>
      <c r="R67" s="1">
        <v>6185</v>
      </c>
      <c r="S67" s="10">
        <v>5297</v>
      </c>
      <c r="T67">
        <v>2</v>
      </c>
      <c r="U67" s="1" t="s">
        <v>20</v>
      </c>
      <c r="X67" s="1" t="s">
        <v>93</v>
      </c>
    </row>
    <row r="68" spans="1:24" x14ac:dyDescent="0.2">
      <c r="A68" s="1" t="s">
        <v>98</v>
      </c>
      <c r="B68" s="1">
        <v>71</v>
      </c>
      <c r="C68" s="1">
        <v>488.00400000000002</v>
      </c>
      <c r="D68" s="2">
        <f t="shared" si="0"/>
        <v>0.32533600000000001</v>
      </c>
      <c r="E68" s="3">
        <v>45840</v>
      </c>
      <c r="F68" s="4">
        <v>45836</v>
      </c>
      <c r="G68" s="5">
        <f t="shared" si="1"/>
        <v>4</v>
      </c>
      <c r="H68" s="1" t="s">
        <v>18</v>
      </c>
      <c r="I68" s="1">
        <v>60</v>
      </c>
      <c r="J68" s="1">
        <v>56</v>
      </c>
      <c r="K68" s="11" t="s">
        <v>237</v>
      </c>
      <c r="L68" s="6" t="s">
        <v>237</v>
      </c>
      <c r="M68" s="6" t="s">
        <v>28</v>
      </c>
      <c r="N68" s="1">
        <v>11</v>
      </c>
      <c r="O68" s="1">
        <v>44</v>
      </c>
      <c r="P68" s="5">
        <f t="shared" si="3"/>
        <v>33</v>
      </c>
      <c r="Q68" s="1">
        <v>1978</v>
      </c>
      <c r="R68" s="1">
        <v>999</v>
      </c>
      <c r="S68" s="10">
        <v>793</v>
      </c>
      <c r="T68">
        <v>3</v>
      </c>
      <c r="U68" s="1" t="s">
        <v>20</v>
      </c>
      <c r="X68" s="1" t="s">
        <v>93</v>
      </c>
    </row>
    <row r="69" spans="1:24" x14ac:dyDescent="0.2">
      <c r="A69" s="1" t="s">
        <v>99</v>
      </c>
      <c r="B69" s="1">
        <v>72</v>
      </c>
      <c r="C69" s="1">
        <v>485.08300000000003</v>
      </c>
      <c r="D69" s="2">
        <f t="shared" si="0"/>
        <v>0.32338866666666666</v>
      </c>
      <c r="E69" s="3">
        <v>45840</v>
      </c>
      <c r="F69" s="4">
        <v>45836</v>
      </c>
      <c r="G69" s="5">
        <f t="shared" si="1"/>
        <v>4</v>
      </c>
      <c r="H69" s="1" t="s">
        <v>18</v>
      </c>
      <c r="I69" s="1">
        <v>60</v>
      </c>
      <c r="J69" s="1">
        <v>86</v>
      </c>
      <c r="K69" s="11" t="s">
        <v>237</v>
      </c>
      <c r="L69" s="6" t="s">
        <v>19</v>
      </c>
      <c r="M69" s="6" t="s">
        <v>19</v>
      </c>
      <c r="N69" s="1">
        <v>9</v>
      </c>
      <c r="O69" s="1">
        <v>45</v>
      </c>
      <c r="P69" s="5">
        <f t="shared" si="3"/>
        <v>36</v>
      </c>
      <c r="Q69" s="1">
        <v>2157</v>
      </c>
      <c r="R69" s="1">
        <v>1346</v>
      </c>
      <c r="S69" s="10">
        <v>1161</v>
      </c>
      <c r="T69">
        <v>2</v>
      </c>
      <c r="U69" s="1" t="s">
        <v>20</v>
      </c>
      <c r="X69" s="1" t="s">
        <v>93</v>
      </c>
    </row>
    <row r="70" spans="1:24" x14ac:dyDescent="0.2">
      <c r="A70" s="1" t="s">
        <v>100</v>
      </c>
      <c r="B70" s="1">
        <v>73</v>
      </c>
      <c r="C70" s="1">
        <v>485.14800000000002</v>
      </c>
      <c r="D70" s="2">
        <f t="shared" si="0"/>
        <v>0.323432</v>
      </c>
      <c r="E70" s="3">
        <v>45840</v>
      </c>
      <c r="F70" s="4">
        <v>45836</v>
      </c>
      <c r="G70" s="5">
        <f t="shared" si="1"/>
        <v>4</v>
      </c>
      <c r="H70" s="1" t="s">
        <v>18</v>
      </c>
      <c r="I70" s="1">
        <v>60</v>
      </c>
      <c r="J70" s="1">
        <v>43</v>
      </c>
      <c r="K70" s="11" t="s">
        <v>237</v>
      </c>
      <c r="L70" s="6" t="s">
        <v>28</v>
      </c>
      <c r="M70" s="6" t="s">
        <v>28</v>
      </c>
      <c r="N70" s="1">
        <v>5</v>
      </c>
      <c r="O70" s="1">
        <v>30</v>
      </c>
      <c r="P70" s="5">
        <f t="shared" si="3"/>
        <v>25</v>
      </c>
      <c r="Q70" s="1">
        <v>1498</v>
      </c>
      <c r="R70" s="1">
        <v>452</v>
      </c>
      <c r="S70" s="10">
        <v>307</v>
      </c>
      <c r="T70">
        <v>2</v>
      </c>
      <c r="U70" s="1" t="s">
        <v>24</v>
      </c>
    </row>
    <row r="71" spans="1:24" x14ac:dyDescent="0.2">
      <c r="A71" s="1" t="s">
        <v>101</v>
      </c>
      <c r="B71" s="1">
        <v>74</v>
      </c>
      <c r="C71" s="1">
        <v>486.08300000000003</v>
      </c>
      <c r="D71" s="2">
        <f t="shared" si="0"/>
        <v>0.32405533333333336</v>
      </c>
      <c r="E71" s="3">
        <v>45840</v>
      </c>
      <c r="F71" s="4">
        <v>45836</v>
      </c>
      <c r="G71" s="5">
        <f t="shared" si="1"/>
        <v>4</v>
      </c>
      <c r="H71" s="1" t="s">
        <v>18</v>
      </c>
      <c r="I71" s="1">
        <v>60</v>
      </c>
      <c r="J71" s="1">
        <v>60</v>
      </c>
      <c r="K71" s="15" t="s">
        <v>238</v>
      </c>
      <c r="L71" s="14" t="s">
        <v>23</v>
      </c>
      <c r="M71" s="6" t="s">
        <v>23</v>
      </c>
      <c r="N71" s="1">
        <v>5</v>
      </c>
      <c r="O71" s="1">
        <v>50</v>
      </c>
      <c r="P71" s="5">
        <f t="shared" si="3"/>
        <v>45</v>
      </c>
      <c r="Q71" s="1">
        <v>2697</v>
      </c>
      <c r="R71" s="1">
        <v>1818</v>
      </c>
      <c r="S71" s="10">
        <v>1668</v>
      </c>
      <c r="T71">
        <v>3</v>
      </c>
      <c r="U71" s="1" t="s">
        <v>20</v>
      </c>
      <c r="X71" s="1" t="s">
        <v>93</v>
      </c>
    </row>
    <row r="72" spans="1:24" x14ac:dyDescent="0.2">
      <c r="A72" s="1" t="s">
        <v>102</v>
      </c>
      <c r="B72" s="1">
        <v>75</v>
      </c>
      <c r="C72" s="1">
        <v>486.06599999999997</v>
      </c>
      <c r="D72" s="2">
        <f t="shared" si="0"/>
        <v>0.324044</v>
      </c>
      <c r="E72" s="3">
        <v>45840</v>
      </c>
      <c r="F72" s="4">
        <v>45836</v>
      </c>
      <c r="G72" s="5">
        <f t="shared" si="1"/>
        <v>4</v>
      </c>
      <c r="H72" s="1" t="s">
        <v>18</v>
      </c>
      <c r="I72" s="1">
        <v>60</v>
      </c>
      <c r="J72" s="1">
        <v>40</v>
      </c>
      <c r="K72" s="15" t="s">
        <v>238</v>
      </c>
      <c r="L72" s="14" t="s">
        <v>23</v>
      </c>
      <c r="M72" s="6" t="s">
        <v>23</v>
      </c>
      <c r="N72" s="1">
        <v>4</v>
      </c>
      <c r="O72" s="1">
        <v>25</v>
      </c>
      <c r="P72" s="5">
        <f t="shared" si="3"/>
        <v>21</v>
      </c>
      <c r="Q72" s="1">
        <v>1258</v>
      </c>
      <c r="R72" s="1">
        <v>251</v>
      </c>
      <c r="S72" s="10">
        <v>173</v>
      </c>
      <c r="T72">
        <v>1</v>
      </c>
      <c r="U72" s="1" t="s">
        <v>24</v>
      </c>
    </row>
    <row r="73" spans="1:24" x14ac:dyDescent="0.2">
      <c r="A73" s="1" t="s">
        <v>103</v>
      </c>
      <c r="B73" s="1">
        <v>76</v>
      </c>
      <c r="C73" s="1">
        <v>488.23</v>
      </c>
      <c r="D73" s="2">
        <f t="shared" si="0"/>
        <v>0.3254866666666667</v>
      </c>
      <c r="E73" s="3">
        <v>45840</v>
      </c>
      <c r="F73" s="4">
        <v>45836</v>
      </c>
      <c r="G73" s="5">
        <f t="shared" si="1"/>
        <v>4</v>
      </c>
      <c r="H73" s="1" t="s">
        <v>18</v>
      </c>
      <c r="I73" s="1">
        <v>60</v>
      </c>
      <c r="J73" s="1">
        <v>42</v>
      </c>
      <c r="K73" s="15" t="s">
        <v>238</v>
      </c>
      <c r="L73" s="14" t="s">
        <v>240</v>
      </c>
      <c r="M73" s="6" t="s">
        <v>43</v>
      </c>
      <c r="N73" s="1">
        <v>6</v>
      </c>
      <c r="O73" s="1">
        <v>36</v>
      </c>
      <c r="P73" s="5">
        <f t="shared" si="3"/>
        <v>30</v>
      </c>
      <c r="Q73" s="1">
        <v>1798</v>
      </c>
      <c r="R73" s="1">
        <v>884</v>
      </c>
      <c r="S73" s="10">
        <v>677</v>
      </c>
      <c r="T73">
        <v>2</v>
      </c>
      <c r="U73" s="1" t="s">
        <v>24</v>
      </c>
    </row>
    <row r="74" spans="1:24" x14ac:dyDescent="0.2">
      <c r="A74" s="1" t="s">
        <v>104</v>
      </c>
      <c r="B74" s="1">
        <v>77</v>
      </c>
      <c r="C74" s="1">
        <v>487.05</v>
      </c>
      <c r="D74" s="2">
        <f t="shared" si="0"/>
        <v>0.32469999999999999</v>
      </c>
      <c r="E74" s="3">
        <v>45840</v>
      </c>
      <c r="F74" s="4">
        <v>45836</v>
      </c>
      <c r="G74" s="5">
        <f t="shared" si="1"/>
        <v>4</v>
      </c>
      <c r="H74" s="1" t="s">
        <v>18</v>
      </c>
      <c r="I74" s="1">
        <v>60</v>
      </c>
      <c r="J74" s="1">
        <v>357</v>
      </c>
      <c r="K74" s="11" t="s">
        <v>237</v>
      </c>
      <c r="L74" s="6" t="s">
        <v>28</v>
      </c>
      <c r="M74" s="6" t="s">
        <v>28</v>
      </c>
      <c r="N74" s="1">
        <v>6</v>
      </c>
      <c r="O74" s="1">
        <v>332</v>
      </c>
      <c r="P74" s="5">
        <f t="shared" si="3"/>
        <v>326</v>
      </c>
      <c r="Q74" s="1">
        <v>19540</v>
      </c>
      <c r="R74" s="1">
        <v>18599</v>
      </c>
      <c r="S74" s="10">
        <v>17598</v>
      </c>
      <c r="T74">
        <v>2</v>
      </c>
      <c r="U74" s="1" t="s">
        <v>24</v>
      </c>
    </row>
    <row r="75" spans="1:24" x14ac:dyDescent="0.2">
      <c r="A75" s="1" t="s">
        <v>105</v>
      </c>
      <c r="B75" s="1">
        <v>78</v>
      </c>
      <c r="C75" s="1">
        <v>487.02600000000001</v>
      </c>
      <c r="D75" s="2">
        <f t="shared" si="0"/>
        <v>0.32468400000000003</v>
      </c>
      <c r="E75" s="3">
        <v>45840</v>
      </c>
      <c r="F75" s="4">
        <v>45836</v>
      </c>
      <c r="G75" s="5">
        <f t="shared" si="1"/>
        <v>4</v>
      </c>
      <c r="H75" s="1" t="s">
        <v>18</v>
      </c>
      <c r="I75" s="1">
        <v>60</v>
      </c>
      <c r="J75" s="1">
        <v>58</v>
      </c>
      <c r="K75" s="11" t="s">
        <v>237</v>
      </c>
      <c r="L75" s="6" t="s">
        <v>28</v>
      </c>
      <c r="M75" s="6" t="s">
        <v>28</v>
      </c>
      <c r="N75" s="1">
        <v>6</v>
      </c>
      <c r="O75" s="1">
        <v>45</v>
      </c>
      <c r="P75" s="5">
        <f t="shared" si="3"/>
        <v>39</v>
      </c>
      <c r="Q75" s="1">
        <v>2337</v>
      </c>
      <c r="R75" s="1">
        <v>1357</v>
      </c>
      <c r="S75" s="10">
        <v>1160</v>
      </c>
      <c r="T75">
        <v>2</v>
      </c>
      <c r="U75" s="1" t="s">
        <v>24</v>
      </c>
    </row>
    <row r="76" spans="1:24" x14ac:dyDescent="0.2">
      <c r="A76" s="1" t="s">
        <v>106</v>
      </c>
      <c r="B76" s="1">
        <v>79</v>
      </c>
      <c r="C76" s="1">
        <v>486.00099999999998</v>
      </c>
      <c r="D76" s="2">
        <f t="shared" si="0"/>
        <v>0.32400066666666666</v>
      </c>
      <c r="E76" s="3">
        <v>45840</v>
      </c>
      <c r="F76" s="4">
        <v>45836</v>
      </c>
      <c r="G76" s="5">
        <f t="shared" si="1"/>
        <v>4</v>
      </c>
      <c r="H76" s="1" t="s">
        <v>18</v>
      </c>
      <c r="I76" s="1">
        <v>60</v>
      </c>
      <c r="J76" s="1">
        <v>136</v>
      </c>
      <c r="K76" s="11" t="s">
        <v>237</v>
      </c>
      <c r="L76" s="6" t="s">
        <v>19</v>
      </c>
      <c r="M76" s="6" t="s">
        <v>19</v>
      </c>
      <c r="N76" s="1">
        <v>5</v>
      </c>
      <c r="O76" s="1">
        <v>125</v>
      </c>
      <c r="P76" s="5">
        <f t="shared" si="3"/>
        <v>120</v>
      </c>
      <c r="Q76" s="1">
        <v>7192</v>
      </c>
      <c r="R76" s="1">
        <v>6203</v>
      </c>
      <c r="S76" s="10">
        <v>5387</v>
      </c>
      <c r="T76">
        <v>1</v>
      </c>
      <c r="U76" s="1" t="s">
        <v>24</v>
      </c>
    </row>
    <row r="77" spans="1:24" x14ac:dyDescent="0.2">
      <c r="A77" s="1" t="s">
        <v>107</v>
      </c>
      <c r="B77" s="1">
        <v>80</v>
      </c>
      <c r="C77" s="1">
        <v>484.41300000000001</v>
      </c>
      <c r="D77" s="2">
        <f t="shared" si="0"/>
        <v>0.32294200000000001</v>
      </c>
      <c r="E77" s="3">
        <v>45840</v>
      </c>
      <c r="F77" s="4">
        <v>45836</v>
      </c>
      <c r="G77" s="5">
        <f t="shared" si="1"/>
        <v>4</v>
      </c>
      <c r="H77" s="1" t="s">
        <v>18</v>
      </c>
      <c r="I77" s="1">
        <v>60</v>
      </c>
      <c r="J77" s="1">
        <v>38</v>
      </c>
      <c r="K77" s="11" t="s">
        <v>237</v>
      </c>
      <c r="L77" s="6" t="s">
        <v>19</v>
      </c>
      <c r="M77" s="6" t="s">
        <v>19</v>
      </c>
      <c r="N77" s="1">
        <v>5</v>
      </c>
      <c r="O77" s="1">
        <v>28</v>
      </c>
      <c r="P77" s="5">
        <f t="shared" si="3"/>
        <v>23</v>
      </c>
      <c r="Q77" s="1">
        <v>1378</v>
      </c>
      <c r="R77" s="1">
        <v>370</v>
      </c>
      <c r="S77" s="10">
        <v>291</v>
      </c>
      <c r="T77">
        <v>2</v>
      </c>
      <c r="U77" s="1" t="s">
        <v>20</v>
      </c>
      <c r="X77" s="1" t="s">
        <v>93</v>
      </c>
    </row>
    <row r="78" spans="1:24" x14ac:dyDescent="0.2">
      <c r="A78" s="1" t="s">
        <v>108</v>
      </c>
      <c r="B78" s="1">
        <v>81</v>
      </c>
      <c r="C78" s="1">
        <v>484.202</v>
      </c>
      <c r="D78" s="2">
        <f t="shared" si="0"/>
        <v>0.32280133333333333</v>
      </c>
      <c r="E78" s="3">
        <v>45840</v>
      </c>
      <c r="F78" s="4">
        <v>45836</v>
      </c>
      <c r="G78" s="5">
        <f t="shared" si="1"/>
        <v>4</v>
      </c>
      <c r="H78" s="1" t="s">
        <v>18</v>
      </c>
      <c r="I78" s="1">
        <v>60</v>
      </c>
      <c r="J78" s="1">
        <v>183</v>
      </c>
      <c r="K78" s="11" t="s">
        <v>237</v>
      </c>
      <c r="L78" s="6" t="s">
        <v>28</v>
      </c>
      <c r="M78" s="6" t="s">
        <v>28</v>
      </c>
      <c r="N78" s="1">
        <v>7</v>
      </c>
      <c r="O78" s="1">
        <v>175</v>
      </c>
      <c r="P78" s="5">
        <f t="shared" si="3"/>
        <v>168</v>
      </c>
      <c r="Q78" s="1">
        <v>10069</v>
      </c>
      <c r="R78" s="1">
        <v>9020</v>
      </c>
      <c r="S78" s="10">
        <v>8860</v>
      </c>
      <c r="T78">
        <v>3</v>
      </c>
      <c r="U78" s="1" t="s">
        <v>20</v>
      </c>
      <c r="X78" s="1" t="s">
        <v>93</v>
      </c>
    </row>
    <row r="79" spans="1:24" x14ac:dyDescent="0.2">
      <c r="A79" s="1" t="s">
        <v>109</v>
      </c>
      <c r="B79" s="1">
        <v>82</v>
      </c>
      <c r="C79" s="1">
        <v>485.45400000000001</v>
      </c>
      <c r="D79" s="2">
        <f t="shared" si="0"/>
        <v>0.32363599999999998</v>
      </c>
      <c r="E79" s="3">
        <v>45840</v>
      </c>
      <c r="F79" s="4">
        <v>45836</v>
      </c>
      <c r="G79" s="5">
        <f t="shared" si="1"/>
        <v>4</v>
      </c>
      <c r="H79" s="1" t="s">
        <v>18</v>
      </c>
      <c r="I79" s="1">
        <v>60</v>
      </c>
      <c r="J79" s="1">
        <v>137</v>
      </c>
      <c r="K79" s="15" t="s">
        <v>238</v>
      </c>
      <c r="L79" s="14" t="s">
        <v>240</v>
      </c>
      <c r="M79" s="6" t="s">
        <v>43</v>
      </c>
      <c r="N79" s="1">
        <v>6</v>
      </c>
      <c r="O79" s="1">
        <v>35</v>
      </c>
      <c r="P79" s="5">
        <f t="shared" si="3"/>
        <v>29</v>
      </c>
      <c r="Q79" s="1">
        <v>1738</v>
      </c>
      <c r="R79" s="1">
        <v>617</v>
      </c>
      <c r="S79" s="10">
        <v>530</v>
      </c>
      <c r="T79">
        <v>2</v>
      </c>
      <c r="U79" s="1" t="s">
        <v>20</v>
      </c>
      <c r="X79" s="1" t="s">
        <v>93</v>
      </c>
    </row>
    <row r="80" spans="1:24" x14ac:dyDescent="0.2">
      <c r="A80" s="1" t="s">
        <v>110</v>
      </c>
      <c r="B80" s="1">
        <v>83</v>
      </c>
      <c r="C80" s="1">
        <v>486.69499999999999</v>
      </c>
      <c r="D80" s="2">
        <f t="shared" si="0"/>
        <v>0.32446333333333333</v>
      </c>
      <c r="E80" s="3">
        <v>45840</v>
      </c>
      <c r="F80" s="4">
        <v>45836</v>
      </c>
      <c r="G80" s="5">
        <f t="shared" si="1"/>
        <v>4</v>
      </c>
      <c r="H80" s="1" t="s">
        <v>18</v>
      </c>
      <c r="I80" s="1">
        <v>60</v>
      </c>
      <c r="J80" s="1">
        <v>86</v>
      </c>
      <c r="K80" s="15" t="s">
        <v>238</v>
      </c>
      <c r="L80" s="14" t="s">
        <v>23</v>
      </c>
      <c r="M80" s="6" t="s">
        <v>23</v>
      </c>
      <c r="N80" s="1">
        <v>5</v>
      </c>
      <c r="O80" s="1">
        <v>86</v>
      </c>
      <c r="P80" s="5">
        <f t="shared" si="3"/>
        <v>81</v>
      </c>
      <c r="Q80" s="1">
        <v>4855</v>
      </c>
      <c r="R80" s="1">
        <v>4186</v>
      </c>
      <c r="S80" s="10">
        <v>4068</v>
      </c>
      <c r="T80">
        <v>1</v>
      </c>
      <c r="U80" s="1" t="s">
        <v>20</v>
      </c>
      <c r="X80" s="1" t="s">
        <v>93</v>
      </c>
    </row>
    <row r="81" spans="1:24" x14ac:dyDescent="0.2">
      <c r="A81" s="1" t="s">
        <v>111</v>
      </c>
      <c r="B81" s="1">
        <v>84</v>
      </c>
      <c r="C81" s="1">
        <v>485.23200000000003</v>
      </c>
      <c r="D81" s="2">
        <f t="shared" si="0"/>
        <v>0.323488</v>
      </c>
      <c r="E81" s="3">
        <v>45840</v>
      </c>
      <c r="F81" s="4">
        <v>45836</v>
      </c>
      <c r="G81" s="5">
        <f t="shared" si="1"/>
        <v>4</v>
      </c>
      <c r="H81" s="1" t="s">
        <v>18</v>
      </c>
      <c r="I81" s="1">
        <v>60</v>
      </c>
      <c r="J81" s="1">
        <v>77</v>
      </c>
      <c r="K81" s="15" t="s">
        <v>238</v>
      </c>
      <c r="L81" s="14" t="s">
        <v>23</v>
      </c>
      <c r="M81" s="6" t="s">
        <v>23</v>
      </c>
      <c r="N81" s="1">
        <v>5</v>
      </c>
      <c r="O81" s="1">
        <v>65</v>
      </c>
      <c r="P81" s="5">
        <f t="shared" si="3"/>
        <v>60</v>
      </c>
      <c r="Q81" s="1">
        <v>3596</v>
      </c>
      <c r="R81" s="1">
        <v>2577</v>
      </c>
      <c r="S81" s="10">
        <v>2135</v>
      </c>
      <c r="T81">
        <v>1</v>
      </c>
      <c r="U81" s="1" t="s">
        <v>20</v>
      </c>
      <c r="X81" s="1" t="s">
        <v>93</v>
      </c>
    </row>
    <row r="82" spans="1:24" x14ac:dyDescent="0.2">
      <c r="A82" s="1" t="s">
        <v>112</v>
      </c>
      <c r="B82" s="1">
        <v>85</v>
      </c>
      <c r="C82" s="1">
        <v>491.02499999999998</v>
      </c>
      <c r="D82" s="2">
        <f t="shared" si="0"/>
        <v>0.32734999999999997</v>
      </c>
      <c r="E82" s="3">
        <v>45841</v>
      </c>
      <c r="F82" s="4">
        <v>45837</v>
      </c>
      <c r="G82" s="5">
        <f t="shared" si="1"/>
        <v>4</v>
      </c>
      <c r="H82" s="1" t="s">
        <v>18</v>
      </c>
      <c r="I82" s="1">
        <v>60</v>
      </c>
      <c r="J82" s="1">
        <v>90</v>
      </c>
      <c r="K82" s="11" t="s">
        <v>237</v>
      </c>
      <c r="L82" s="6" t="s">
        <v>237</v>
      </c>
      <c r="M82" s="6" t="s">
        <v>28</v>
      </c>
      <c r="N82" s="1">
        <v>5</v>
      </c>
      <c r="O82" s="1">
        <v>50</v>
      </c>
      <c r="P82" s="5">
        <f t="shared" si="3"/>
        <v>45</v>
      </c>
      <c r="Q82" s="1">
        <v>2697</v>
      </c>
      <c r="R82" s="1">
        <v>1658</v>
      </c>
      <c r="S82" s="10">
        <v>1524</v>
      </c>
      <c r="T82">
        <v>3</v>
      </c>
      <c r="U82" s="1" t="s">
        <v>24</v>
      </c>
      <c r="V82" s="1"/>
      <c r="W82" s="1"/>
      <c r="X82" s="1" t="s">
        <v>113</v>
      </c>
    </row>
    <row r="83" spans="1:24" x14ac:dyDescent="0.2">
      <c r="A83" s="1" t="s">
        <v>114</v>
      </c>
      <c r="B83" s="1">
        <v>86</v>
      </c>
      <c r="C83" s="1">
        <v>492.065</v>
      </c>
      <c r="D83" s="2">
        <f t="shared" si="0"/>
        <v>0.32804333333333335</v>
      </c>
      <c r="E83" s="3">
        <v>45841</v>
      </c>
      <c r="F83" s="4">
        <v>45837</v>
      </c>
      <c r="G83" s="5">
        <f t="shared" si="1"/>
        <v>4</v>
      </c>
      <c r="H83" s="1" t="s">
        <v>18</v>
      </c>
      <c r="I83" s="1">
        <v>60</v>
      </c>
      <c r="J83" s="1">
        <v>142</v>
      </c>
      <c r="K83" s="11" t="s">
        <v>237</v>
      </c>
      <c r="L83" s="6" t="s">
        <v>19</v>
      </c>
      <c r="M83" s="6" t="s">
        <v>19</v>
      </c>
      <c r="N83" s="1">
        <v>5</v>
      </c>
      <c r="O83" s="1">
        <v>142</v>
      </c>
      <c r="P83" s="5">
        <f t="shared" si="3"/>
        <v>137</v>
      </c>
      <c r="Q83" s="1">
        <v>8211</v>
      </c>
      <c r="R83" s="1">
        <v>7229</v>
      </c>
      <c r="S83" s="10">
        <v>7000</v>
      </c>
      <c r="T83" s="1">
        <v>1</v>
      </c>
      <c r="U83" s="1" t="s">
        <v>24</v>
      </c>
      <c r="V83" s="1"/>
      <c r="W83" s="1"/>
      <c r="X83" s="1" t="s">
        <v>113</v>
      </c>
    </row>
    <row r="84" spans="1:24" x14ac:dyDescent="0.2">
      <c r="A84" s="1" t="s">
        <v>115</v>
      </c>
      <c r="B84" s="1">
        <v>87</v>
      </c>
      <c r="C84" s="1">
        <v>492.00400000000002</v>
      </c>
      <c r="D84" s="2">
        <f t="shared" si="0"/>
        <v>0.32800266666666666</v>
      </c>
      <c r="E84" s="3">
        <v>45841</v>
      </c>
      <c r="F84" s="4">
        <v>45837</v>
      </c>
      <c r="G84" s="5">
        <f t="shared" si="1"/>
        <v>4</v>
      </c>
      <c r="H84" s="1" t="s">
        <v>18</v>
      </c>
      <c r="I84" s="1">
        <v>60</v>
      </c>
      <c r="J84" s="1">
        <v>87</v>
      </c>
      <c r="K84" s="11" t="s">
        <v>237</v>
      </c>
      <c r="L84" s="6" t="s">
        <v>28</v>
      </c>
      <c r="M84" s="6" t="s">
        <v>28</v>
      </c>
      <c r="N84" s="1">
        <v>5</v>
      </c>
      <c r="O84" s="1">
        <v>83</v>
      </c>
      <c r="P84" s="5">
        <f t="shared" si="3"/>
        <v>78</v>
      </c>
      <c r="Q84" s="1">
        <v>4675</v>
      </c>
      <c r="R84" s="1">
        <v>3736</v>
      </c>
      <c r="S84" s="10">
        <v>3563</v>
      </c>
      <c r="T84" s="1">
        <v>1</v>
      </c>
      <c r="U84" s="1" t="s">
        <v>24</v>
      </c>
      <c r="V84" s="1"/>
      <c r="W84" s="1"/>
      <c r="X84" s="1" t="s">
        <v>113</v>
      </c>
    </row>
    <row r="85" spans="1:24" x14ac:dyDescent="0.2">
      <c r="A85" s="1" t="s">
        <v>116</v>
      </c>
      <c r="B85" s="1">
        <v>88</v>
      </c>
      <c r="C85" s="1">
        <v>490.00900000000001</v>
      </c>
      <c r="D85" s="2">
        <f t="shared" si="0"/>
        <v>0.32667266666666667</v>
      </c>
      <c r="E85" s="3">
        <v>45841</v>
      </c>
      <c r="F85" s="4">
        <v>45837</v>
      </c>
      <c r="G85" s="5">
        <f t="shared" si="1"/>
        <v>4</v>
      </c>
      <c r="H85" s="1" t="s">
        <v>18</v>
      </c>
      <c r="I85" s="1">
        <v>60</v>
      </c>
      <c r="J85" s="1">
        <v>266</v>
      </c>
      <c r="K85" s="15" t="s">
        <v>238</v>
      </c>
      <c r="L85" s="14" t="s">
        <v>240</v>
      </c>
      <c r="M85" s="6" t="s">
        <v>43</v>
      </c>
      <c r="N85" s="1">
        <v>6</v>
      </c>
      <c r="O85" s="1">
        <v>247</v>
      </c>
      <c r="P85" s="5">
        <f t="shared" si="3"/>
        <v>241</v>
      </c>
      <c r="Q85" s="1">
        <v>14445</v>
      </c>
      <c r="R85" s="1">
        <v>13476</v>
      </c>
      <c r="S85" s="10">
        <v>13387</v>
      </c>
      <c r="T85" s="1">
        <v>3</v>
      </c>
      <c r="U85" s="1" t="s">
        <v>24</v>
      </c>
      <c r="V85" s="1"/>
      <c r="W85" s="1"/>
      <c r="X85" s="1" t="s">
        <v>113</v>
      </c>
    </row>
    <row r="86" spans="1:24" x14ac:dyDescent="0.2">
      <c r="A86" s="1" t="s">
        <v>117</v>
      </c>
      <c r="B86" s="1">
        <v>89</v>
      </c>
      <c r="C86" s="1">
        <v>491.00400000000002</v>
      </c>
      <c r="D86" s="2">
        <f t="shared" si="0"/>
        <v>0.32733600000000002</v>
      </c>
      <c r="E86" s="3">
        <v>45841</v>
      </c>
      <c r="F86" s="4">
        <v>45837</v>
      </c>
      <c r="G86" s="5">
        <f t="shared" si="1"/>
        <v>4</v>
      </c>
      <c r="H86" s="1" t="s">
        <v>18</v>
      </c>
      <c r="I86" s="1">
        <v>60</v>
      </c>
      <c r="J86" s="1">
        <v>44</v>
      </c>
      <c r="K86" s="15" t="s">
        <v>238</v>
      </c>
      <c r="L86" s="14" t="s">
        <v>23</v>
      </c>
      <c r="M86" s="6" t="s">
        <v>23</v>
      </c>
      <c r="N86" s="1">
        <v>6</v>
      </c>
      <c r="O86" s="1">
        <v>35</v>
      </c>
      <c r="P86" s="5">
        <f t="shared" si="3"/>
        <v>29</v>
      </c>
      <c r="Q86" s="1">
        <v>1738</v>
      </c>
      <c r="R86" s="1">
        <v>774</v>
      </c>
      <c r="S86" s="10">
        <v>631</v>
      </c>
      <c r="T86" s="1">
        <v>1</v>
      </c>
      <c r="U86" s="1" t="s">
        <v>24</v>
      </c>
      <c r="V86" s="1"/>
      <c r="W86" s="1"/>
      <c r="X86" s="1" t="s">
        <v>113</v>
      </c>
    </row>
    <row r="87" spans="1:24" x14ac:dyDescent="0.2">
      <c r="A87" s="1" t="s">
        <v>118</v>
      </c>
      <c r="B87" s="1">
        <v>90</v>
      </c>
      <c r="C87" s="1">
        <v>493.02499999999998</v>
      </c>
      <c r="D87" s="2">
        <f t="shared" si="0"/>
        <v>0.32868333333333333</v>
      </c>
      <c r="E87" s="3">
        <v>45841</v>
      </c>
      <c r="F87" s="4">
        <v>45837</v>
      </c>
      <c r="G87" s="5">
        <f t="shared" si="1"/>
        <v>4</v>
      </c>
      <c r="H87" s="1" t="s">
        <v>18</v>
      </c>
      <c r="I87" s="1">
        <v>60</v>
      </c>
      <c r="J87" s="1">
        <v>177</v>
      </c>
      <c r="K87" s="11" t="s">
        <v>237</v>
      </c>
      <c r="L87" s="6" t="s">
        <v>19</v>
      </c>
      <c r="M87" s="6" t="s">
        <v>19</v>
      </c>
      <c r="N87" s="1">
        <v>6</v>
      </c>
      <c r="O87" s="1">
        <v>158</v>
      </c>
      <c r="P87" s="5">
        <f t="shared" si="3"/>
        <v>152</v>
      </c>
      <c r="Q87" s="1">
        <v>9110</v>
      </c>
      <c r="R87" s="1">
        <v>8098</v>
      </c>
      <c r="S87" s="10">
        <v>7994</v>
      </c>
      <c r="T87" s="1">
        <v>3</v>
      </c>
      <c r="U87" s="1" t="s">
        <v>24</v>
      </c>
      <c r="V87" s="1"/>
      <c r="W87" s="1"/>
      <c r="X87" s="1" t="s">
        <v>113</v>
      </c>
    </row>
    <row r="88" spans="1:24" x14ac:dyDescent="0.2">
      <c r="A88" s="1" t="s">
        <v>119</v>
      </c>
      <c r="B88" s="1">
        <v>91</v>
      </c>
      <c r="C88" s="1">
        <v>488.20100000000002</v>
      </c>
      <c r="D88" s="2">
        <f t="shared" si="0"/>
        <v>0.32546733333333333</v>
      </c>
      <c r="E88" s="3">
        <v>45841</v>
      </c>
      <c r="F88" s="4">
        <v>45837</v>
      </c>
      <c r="G88" s="5">
        <f t="shared" si="1"/>
        <v>4</v>
      </c>
      <c r="H88" s="1" t="s">
        <v>18</v>
      </c>
      <c r="I88" s="1">
        <v>60</v>
      </c>
      <c r="J88" s="1">
        <v>141</v>
      </c>
      <c r="K88" s="15" t="s">
        <v>238</v>
      </c>
      <c r="L88" s="14" t="s">
        <v>23</v>
      </c>
      <c r="M88" s="6" t="s">
        <v>23</v>
      </c>
      <c r="N88" s="1">
        <v>6</v>
      </c>
      <c r="O88" s="1">
        <v>112</v>
      </c>
      <c r="P88" s="5">
        <f t="shared" si="3"/>
        <v>106</v>
      </c>
      <c r="Q88" s="1">
        <v>6353</v>
      </c>
      <c r="R88" s="1">
        <v>5452</v>
      </c>
      <c r="S88" s="10">
        <v>5422</v>
      </c>
      <c r="T88" s="1">
        <v>2</v>
      </c>
      <c r="U88" s="1" t="s">
        <v>24</v>
      </c>
      <c r="V88" s="1"/>
      <c r="W88" s="1"/>
      <c r="X88" s="1" t="s">
        <v>113</v>
      </c>
    </row>
    <row r="89" spans="1:24" x14ac:dyDescent="0.2">
      <c r="A89" s="1" t="s">
        <v>120</v>
      </c>
      <c r="B89" s="1">
        <v>92</v>
      </c>
      <c r="C89" s="1">
        <v>489.29500000000002</v>
      </c>
      <c r="D89" s="2">
        <f t="shared" si="0"/>
        <v>0.32619666666666669</v>
      </c>
      <c r="E89" s="3">
        <v>45841</v>
      </c>
      <c r="F89" s="4">
        <v>45837</v>
      </c>
      <c r="G89" s="5">
        <f t="shared" si="1"/>
        <v>4</v>
      </c>
      <c r="H89" s="1" t="s">
        <v>18</v>
      </c>
      <c r="I89" s="1">
        <v>60</v>
      </c>
      <c r="J89" s="1">
        <v>87</v>
      </c>
      <c r="K89" s="15" t="s">
        <v>238</v>
      </c>
      <c r="L89" s="14" t="s">
        <v>23</v>
      </c>
      <c r="M89" s="6" t="s">
        <v>23</v>
      </c>
      <c r="N89" s="1">
        <v>6</v>
      </c>
      <c r="O89" s="1">
        <v>50</v>
      </c>
      <c r="P89" s="5">
        <f t="shared" si="3"/>
        <v>44</v>
      </c>
      <c r="Q89" s="1">
        <v>2637</v>
      </c>
      <c r="R89" s="1">
        <v>1684</v>
      </c>
      <c r="S89" s="10">
        <v>1620</v>
      </c>
      <c r="T89" s="1">
        <v>1</v>
      </c>
      <c r="U89" s="1" t="s">
        <v>24</v>
      </c>
      <c r="V89" s="1"/>
      <c r="W89" s="1"/>
      <c r="X89" s="1" t="s">
        <v>113</v>
      </c>
    </row>
    <row r="90" spans="1:24" x14ac:dyDescent="0.2">
      <c r="A90" s="1" t="s">
        <v>121</v>
      </c>
      <c r="B90" s="1">
        <v>93</v>
      </c>
      <c r="C90" s="1">
        <v>489.40899999999999</v>
      </c>
      <c r="D90" s="2">
        <f t="shared" si="0"/>
        <v>0.32627266666666666</v>
      </c>
      <c r="E90" s="3">
        <v>45841</v>
      </c>
      <c r="F90" s="4">
        <v>45837</v>
      </c>
      <c r="G90" s="5">
        <f t="shared" si="1"/>
        <v>4</v>
      </c>
      <c r="H90" s="1" t="s">
        <v>18</v>
      </c>
      <c r="I90" s="1">
        <v>60</v>
      </c>
      <c r="J90" s="1">
        <v>85</v>
      </c>
      <c r="K90" s="15" t="s">
        <v>238</v>
      </c>
      <c r="L90" s="14" t="s">
        <v>240</v>
      </c>
      <c r="M90" s="6" t="s">
        <v>43</v>
      </c>
      <c r="N90" s="1">
        <v>7</v>
      </c>
      <c r="O90" s="1">
        <v>70</v>
      </c>
      <c r="P90" s="5">
        <f t="shared" si="3"/>
        <v>63</v>
      </c>
      <c r="Q90" s="1">
        <v>3776</v>
      </c>
      <c r="R90" s="1">
        <v>2779</v>
      </c>
      <c r="S90" s="10">
        <v>2717</v>
      </c>
      <c r="T90" s="1">
        <v>2</v>
      </c>
      <c r="U90" s="1" t="s">
        <v>24</v>
      </c>
      <c r="V90" s="1"/>
      <c r="W90" s="1"/>
      <c r="X90" s="1" t="s">
        <v>113</v>
      </c>
    </row>
    <row r="91" spans="1:24" x14ac:dyDescent="0.2">
      <c r="A91" s="1" t="s">
        <v>122</v>
      </c>
      <c r="B91" s="1">
        <v>94</v>
      </c>
      <c r="C91" s="1">
        <v>480.267</v>
      </c>
      <c r="D91" s="2">
        <f t="shared" si="0"/>
        <v>0.32017800000000002</v>
      </c>
      <c r="E91" s="3">
        <v>45841</v>
      </c>
      <c r="F91" s="4">
        <v>45837</v>
      </c>
      <c r="G91" s="5">
        <f t="shared" si="1"/>
        <v>4</v>
      </c>
      <c r="H91" s="1" t="s">
        <v>18</v>
      </c>
      <c r="I91" s="1">
        <v>60</v>
      </c>
      <c r="J91" s="1">
        <v>392</v>
      </c>
      <c r="K91" s="11" t="s">
        <v>237</v>
      </c>
      <c r="L91" s="6" t="s">
        <v>19</v>
      </c>
      <c r="M91" s="6" t="s">
        <v>19</v>
      </c>
      <c r="N91" s="1">
        <v>5</v>
      </c>
      <c r="O91" s="1">
        <v>270</v>
      </c>
      <c r="P91" s="5">
        <f t="shared" si="3"/>
        <v>265</v>
      </c>
      <c r="Q91" s="1">
        <v>15884</v>
      </c>
      <c r="R91" s="1">
        <v>14921</v>
      </c>
      <c r="S91" s="10">
        <v>14656</v>
      </c>
      <c r="T91" s="1">
        <v>2</v>
      </c>
      <c r="U91" s="1" t="s">
        <v>24</v>
      </c>
      <c r="V91" s="1"/>
      <c r="W91" s="1"/>
      <c r="X91" s="1" t="s">
        <v>113</v>
      </c>
    </row>
    <row r="92" spans="1:24" x14ac:dyDescent="0.2">
      <c r="A92" s="1" t="s">
        <v>123</v>
      </c>
      <c r="B92" s="1">
        <v>95</v>
      </c>
      <c r="C92" s="1">
        <v>481.017</v>
      </c>
      <c r="D92" s="2">
        <f t="shared" si="0"/>
        <v>0.32067800000000002</v>
      </c>
      <c r="E92" s="3">
        <v>45841</v>
      </c>
      <c r="F92" s="4">
        <v>45837</v>
      </c>
      <c r="G92" s="5">
        <f t="shared" si="1"/>
        <v>4</v>
      </c>
      <c r="H92" s="1" t="s">
        <v>18</v>
      </c>
      <c r="I92" s="1">
        <v>60</v>
      </c>
      <c r="J92" s="1">
        <v>332</v>
      </c>
      <c r="K92" s="11" t="s">
        <v>237</v>
      </c>
      <c r="L92" s="6" t="s">
        <v>19</v>
      </c>
      <c r="M92" s="6" t="s">
        <v>19</v>
      </c>
      <c r="N92" s="1">
        <v>6</v>
      </c>
      <c r="O92" s="1">
        <v>308</v>
      </c>
      <c r="P92" s="5">
        <f t="shared" si="3"/>
        <v>302</v>
      </c>
      <c r="Q92" s="1">
        <v>18101</v>
      </c>
      <c r="R92" s="1">
        <v>17191</v>
      </c>
      <c r="S92" s="10">
        <v>16209</v>
      </c>
      <c r="T92" s="1">
        <v>2</v>
      </c>
      <c r="U92" s="1" t="s">
        <v>24</v>
      </c>
      <c r="V92" s="1"/>
      <c r="W92" s="1"/>
      <c r="X92" s="1" t="s">
        <v>113</v>
      </c>
    </row>
    <row r="93" spans="1:24" x14ac:dyDescent="0.2">
      <c r="A93" s="1" t="s">
        <v>124</v>
      </c>
      <c r="B93" s="1">
        <v>97</v>
      </c>
      <c r="C93" s="1">
        <v>480.20400000000001</v>
      </c>
      <c r="D93" s="2">
        <f t="shared" si="0"/>
        <v>0.32013600000000003</v>
      </c>
      <c r="E93" s="3">
        <v>45841</v>
      </c>
      <c r="F93" s="4">
        <v>45837</v>
      </c>
      <c r="G93" s="5">
        <f t="shared" si="1"/>
        <v>4</v>
      </c>
      <c r="H93" s="1" t="s">
        <v>18</v>
      </c>
      <c r="I93" s="1">
        <v>60</v>
      </c>
      <c r="J93" s="1">
        <v>570</v>
      </c>
      <c r="K93" s="11" t="s">
        <v>237</v>
      </c>
      <c r="L93" s="6" t="s">
        <v>19</v>
      </c>
      <c r="M93" s="6" t="s">
        <v>19</v>
      </c>
      <c r="N93" s="1">
        <v>5</v>
      </c>
      <c r="O93" s="1">
        <v>45</v>
      </c>
      <c r="P93" s="5">
        <f t="shared" si="3"/>
        <v>40</v>
      </c>
      <c r="Q93" s="1">
        <v>2397</v>
      </c>
      <c r="R93" s="1">
        <v>1553</v>
      </c>
      <c r="S93" s="10">
        <v>1326</v>
      </c>
      <c r="T93" s="1">
        <v>2</v>
      </c>
      <c r="U93" s="1" t="s">
        <v>20</v>
      </c>
      <c r="V93" s="1"/>
      <c r="W93" s="1"/>
      <c r="X93" s="1" t="s">
        <v>125</v>
      </c>
    </row>
    <row r="94" spans="1:24" x14ac:dyDescent="0.2">
      <c r="A94" s="1" t="s">
        <v>126</v>
      </c>
      <c r="B94" s="1">
        <v>98</v>
      </c>
      <c r="C94" s="1">
        <v>485.202</v>
      </c>
      <c r="D94" s="2">
        <f t="shared" si="0"/>
        <v>0.32346799999999998</v>
      </c>
      <c r="E94" s="3">
        <v>45842</v>
      </c>
      <c r="F94" s="4">
        <v>45839</v>
      </c>
      <c r="G94" s="5">
        <f t="shared" si="1"/>
        <v>3</v>
      </c>
      <c r="H94" s="1" t="s">
        <v>18</v>
      </c>
      <c r="I94" s="1">
        <v>60</v>
      </c>
      <c r="J94" s="1">
        <v>69</v>
      </c>
      <c r="K94" s="15" t="s">
        <v>238</v>
      </c>
      <c r="L94" s="14" t="s">
        <v>34</v>
      </c>
      <c r="M94" s="6" t="s">
        <v>34</v>
      </c>
      <c r="N94" s="1">
        <v>6</v>
      </c>
      <c r="O94" s="1">
        <v>31</v>
      </c>
      <c r="P94" s="5">
        <f t="shared" si="3"/>
        <v>25</v>
      </c>
      <c r="Q94" s="1">
        <v>1498</v>
      </c>
      <c r="R94" s="1">
        <v>613</v>
      </c>
      <c r="S94" s="10">
        <v>420</v>
      </c>
      <c r="T94" s="1">
        <v>1</v>
      </c>
      <c r="U94" s="1" t="s">
        <v>24</v>
      </c>
    </row>
    <row r="95" spans="1:24" x14ac:dyDescent="0.2">
      <c r="A95" s="1" t="s">
        <v>127</v>
      </c>
      <c r="B95" s="1">
        <v>99</v>
      </c>
      <c r="C95" s="1">
        <v>486.19</v>
      </c>
      <c r="D95" s="2">
        <f t="shared" si="0"/>
        <v>0.32412666666666667</v>
      </c>
      <c r="E95" s="3">
        <v>45842</v>
      </c>
      <c r="F95" s="4">
        <v>45839</v>
      </c>
      <c r="G95" s="5">
        <f t="shared" si="1"/>
        <v>3</v>
      </c>
      <c r="H95" s="1" t="s">
        <v>18</v>
      </c>
      <c r="I95" s="1">
        <v>60</v>
      </c>
      <c r="J95" s="1">
        <v>95</v>
      </c>
      <c r="K95" s="15" t="s">
        <v>238</v>
      </c>
      <c r="L95" s="14" t="s">
        <v>23</v>
      </c>
      <c r="M95" s="6" t="s">
        <v>23</v>
      </c>
      <c r="N95" s="1">
        <v>6</v>
      </c>
      <c r="O95" s="1">
        <v>93</v>
      </c>
      <c r="P95" s="5">
        <f t="shared" si="3"/>
        <v>87</v>
      </c>
      <c r="Q95" s="1">
        <v>5214</v>
      </c>
      <c r="R95" s="1">
        <v>4296</v>
      </c>
      <c r="S95" s="10">
        <v>4124</v>
      </c>
      <c r="T95">
        <v>2</v>
      </c>
      <c r="U95" s="1" t="s">
        <v>24</v>
      </c>
    </row>
    <row r="96" spans="1:24" x14ac:dyDescent="0.2">
      <c r="A96" s="1" t="s">
        <v>128</v>
      </c>
      <c r="B96" s="1">
        <v>100</v>
      </c>
      <c r="C96" s="1">
        <v>484.202</v>
      </c>
      <c r="D96" s="2">
        <f t="shared" si="0"/>
        <v>0.32280133333333333</v>
      </c>
      <c r="E96" s="3">
        <v>45842</v>
      </c>
      <c r="F96" s="4">
        <v>45839</v>
      </c>
      <c r="G96" s="5">
        <f t="shared" si="1"/>
        <v>3</v>
      </c>
      <c r="H96" s="1" t="s">
        <v>18</v>
      </c>
      <c r="I96" s="1">
        <v>60</v>
      </c>
      <c r="J96" s="1">
        <v>97</v>
      </c>
      <c r="K96" s="11" t="s">
        <v>237</v>
      </c>
      <c r="L96" s="6" t="s">
        <v>28</v>
      </c>
      <c r="M96" s="6" t="s">
        <v>28</v>
      </c>
      <c r="N96" s="1">
        <v>6</v>
      </c>
      <c r="O96" s="1">
        <v>95</v>
      </c>
      <c r="P96" s="5">
        <f t="shared" si="3"/>
        <v>89</v>
      </c>
      <c r="Q96" s="1">
        <v>5334</v>
      </c>
      <c r="R96" s="1">
        <v>4391</v>
      </c>
      <c r="S96" s="10">
        <v>4105</v>
      </c>
      <c r="T96">
        <v>1</v>
      </c>
      <c r="U96" s="1" t="s">
        <v>24</v>
      </c>
    </row>
    <row r="97" spans="1:24" x14ac:dyDescent="0.2">
      <c r="A97" s="1" t="s">
        <v>129</v>
      </c>
      <c r="B97" s="1">
        <v>101</v>
      </c>
      <c r="C97" s="1">
        <v>483.54700000000003</v>
      </c>
      <c r="D97" s="2">
        <f t="shared" si="0"/>
        <v>0.32236466666666669</v>
      </c>
      <c r="E97" s="3">
        <v>45842</v>
      </c>
      <c r="F97" s="4">
        <v>45839</v>
      </c>
      <c r="G97" s="5">
        <f t="shared" si="1"/>
        <v>3</v>
      </c>
      <c r="H97" s="1" t="s">
        <v>18</v>
      </c>
      <c r="I97" s="1">
        <v>60</v>
      </c>
      <c r="J97" s="1">
        <v>167</v>
      </c>
      <c r="K97" s="15" t="s">
        <v>238</v>
      </c>
      <c r="L97" s="14" t="s">
        <v>34</v>
      </c>
      <c r="M97" s="6" t="s">
        <v>34</v>
      </c>
      <c r="N97" s="1">
        <v>9</v>
      </c>
      <c r="O97" s="1">
        <v>67</v>
      </c>
      <c r="P97" s="5">
        <f t="shared" si="3"/>
        <v>58</v>
      </c>
      <c r="Q97" s="1">
        <v>3476</v>
      </c>
      <c r="R97" s="1">
        <v>2512</v>
      </c>
      <c r="S97" s="10">
        <v>2290</v>
      </c>
      <c r="T97">
        <v>1</v>
      </c>
      <c r="U97" s="1" t="s">
        <v>24</v>
      </c>
    </row>
    <row r="98" spans="1:24" x14ac:dyDescent="0.2">
      <c r="A98" s="1" t="s">
        <v>130</v>
      </c>
      <c r="B98" s="1">
        <v>102</v>
      </c>
      <c r="C98" s="1">
        <v>485.64400000000001</v>
      </c>
      <c r="D98" s="2">
        <f t="shared" si="0"/>
        <v>0.32376266666666664</v>
      </c>
      <c r="E98" s="3">
        <v>45842</v>
      </c>
      <c r="F98" s="4">
        <v>45839</v>
      </c>
      <c r="G98" s="5">
        <f t="shared" si="1"/>
        <v>3</v>
      </c>
      <c r="H98" s="1" t="s">
        <v>18</v>
      </c>
      <c r="I98" s="1">
        <v>60</v>
      </c>
      <c r="J98" s="1">
        <v>185</v>
      </c>
      <c r="K98" s="15" t="s">
        <v>238</v>
      </c>
      <c r="L98" s="14" t="s">
        <v>240</v>
      </c>
      <c r="M98" s="6" t="s">
        <v>43</v>
      </c>
      <c r="N98" s="1">
        <v>5</v>
      </c>
      <c r="O98" s="1">
        <v>51</v>
      </c>
      <c r="P98" s="5">
        <f t="shared" si="3"/>
        <v>46</v>
      </c>
      <c r="Q98" s="1">
        <v>2757</v>
      </c>
      <c r="R98" s="1">
        <v>1863</v>
      </c>
      <c r="S98" s="10">
        <v>1350</v>
      </c>
      <c r="T98">
        <v>2</v>
      </c>
      <c r="U98" s="1" t="s">
        <v>24</v>
      </c>
    </row>
    <row r="99" spans="1:24" x14ac:dyDescent="0.2">
      <c r="A99" s="1" t="s">
        <v>131</v>
      </c>
      <c r="B99" s="1">
        <v>103</v>
      </c>
      <c r="C99" s="1">
        <v>484.298</v>
      </c>
      <c r="D99" s="2">
        <f t="shared" si="0"/>
        <v>0.32286533333333334</v>
      </c>
      <c r="E99" s="3">
        <v>45842</v>
      </c>
      <c r="F99" s="4">
        <v>45839</v>
      </c>
      <c r="G99" s="5">
        <f t="shared" si="1"/>
        <v>3</v>
      </c>
      <c r="H99" s="1" t="s">
        <v>18</v>
      </c>
      <c r="I99" s="1">
        <v>60</v>
      </c>
      <c r="J99" s="1">
        <v>169</v>
      </c>
      <c r="K99" s="11" t="s">
        <v>237</v>
      </c>
      <c r="L99" s="6" t="s">
        <v>19</v>
      </c>
      <c r="M99" s="6" t="s">
        <v>34</v>
      </c>
      <c r="N99" s="1">
        <v>7</v>
      </c>
      <c r="O99" s="1">
        <v>161</v>
      </c>
      <c r="P99" s="5">
        <f t="shared" si="3"/>
        <v>154</v>
      </c>
      <c r="Q99" s="1">
        <v>9230</v>
      </c>
      <c r="R99" s="1">
        <v>8347</v>
      </c>
      <c r="S99" s="10">
        <v>7600</v>
      </c>
      <c r="T99">
        <v>1</v>
      </c>
      <c r="U99" s="1" t="s">
        <v>20</v>
      </c>
      <c r="X99" s="1" t="s">
        <v>132</v>
      </c>
    </row>
    <row r="100" spans="1:24" x14ac:dyDescent="0.2">
      <c r="A100" s="1" t="s">
        <v>133</v>
      </c>
      <c r="B100" s="1">
        <v>104</v>
      </c>
      <c r="C100" s="1">
        <v>483.935</v>
      </c>
      <c r="D100" s="2">
        <f t="shared" si="0"/>
        <v>0.32262333333333332</v>
      </c>
      <c r="E100" s="3">
        <v>45842</v>
      </c>
      <c r="F100" s="4">
        <v>45839</v>
      </c>
      <c r="G100" s="5">
        <f t="shared" si="1"/>
        <v>3</v>
      </c>
      <c r="H100" s="1" t="s">
        <v>18</v>
      </c>
      <c r="I100" s="1">
        <v>60</v>
      </c>
      <c r="J100" s="1">
        <v>39</v>
      </c>
      <c r="K100" s="11" t="s">
        <v>237</v>
      </c>
      <c r="L100" s="6" t="s">
        <v>237</v>
      </c>
      <c r="M100" s="6" t="s">
        <v>28</v>
      </c>
      <c r="N100" s="1">
        <v>10</v>
      </c>
      <c r="O100" s="1">
        <v>39</v>
      </c>
      <c r="P100" s="5">
        <f t="shared" si="3"/>
        <v>29</v>
      </c>
      <c r="Q100" s="1">
        <v>1738</v>
      </c>
      <c r="R100" s="1">
        <v>898</v>
      </c>
      <c r="S100" s="10">
        <v>404</v>
      </c>
      <c r="T100">
        <v>2</v>
      </c>
      <c r="U100" s="1" t="s">
        <v>24</v>
      </c>
    </row>
    <row r="101" spans="1:24" x14ac:dyDescent="0.2">
      <c r="A101" s="1" t="s">
        <v>134</v>
      </c>
      <c r="B101" s="1">
        <v>105</v>
      </c>
      <c r="C101" s="1">
        <v>485.23200000000003</v>
      </c>
      <c r="D101" s="2">
        <f t="shared" si="0"/>
        <v>0.323488</v>
      </c>
      <c r="E101" s="3">
        <v>45842</v>
      </c>
      <c r="F101" s="4">
        <v>45839</v>
      </c>
      <c r="G101" s="5">
        <f t="shared" si="1"/>
        <v>3</v>
      </c>
      <c r="H101" s="1" t="s">
        <v>18</v>
      </c>
      <c r="I101" s="1">
        <v>60</v>
      </c>
      <c r="J101" s="1">
        <v>39</v>
      </c>
      <c r="K101" s="11" t="s">
        <v>237</v>
      </c>
      <c r="L101" s="6" t="s">
        <v>19</v>
      </c>
      <c r="M101" s="6" t="s">
        <v>19</v>
      </c>
      <c r="N101" s="1">
        <v>5</v>
      </c>
      <c r="O101" s="1">
        <v>30</v>
      </c>
      <c r="P101" s="5">
        <f t="shared" si="3"/>
        <v>25</v>
      </c>
      <c r="Q101" s="1">
        <v>1498</v>
      </c>
      <c r="R101" s="1">
        <v>592</v>
      </c>
      <c r="S101" s="10">
        <v>307</v>
      </c>
      <c r="T101">
        <v>3</v>
      </c>
      <c r="U101" s="1" t="s">
        <v>24</v>
      </c>
    </row>
    <row r="102" spans="1:24" x14ac:dyDescent="0.2">
      <c r="A102" s="1" t="s">
        <v>135</v>
      </c>
      <c r="B102" s="1">
        <v>106</v>
      </c>
      <c r="C102" s="1">
        <v>485.64400000000001</v>
      </c>
      <c r="D102" s="2">
        <f t="shared" si="0"/>
        <v>0.32376266666666664</v>
      </c>
      <c r="E102" s="3">
        <v>45842</v>
      </c>
      <c r="F102" s="4">
        <v>45839</v>
      </c>
      <c r="G102" s="5">
        <f t="shared" si="1"/>
        <v>3</v>
      </c>
      <c r="H102" s="1" t="s">
        <v>18</v>
      </c>
      <c r="I102" s="1">
        <v>60</v>
      </c>
      <c r="J102" s="1">
        <v>114</v>
      </c>
      <c r="K102" s="11" t="s">
        <v>237</v>
      </c>
      <c r="L102" s="6" t="s">
        <v>28</v>
      </c>
      <c r="M102" s="6" t="s">
        <v>28</v>
      </c>
      <c r="N102" s="1">
        <v>5</v>
      </c>
      <c r="O102" s="1">
        <v>105</v>
      </c>
      <c r="P102" s="5">
        <f t="shared" si="3"/>
        <v>100</v>
      </c>
      <c r="Q102" s="1">
        <v>5994</v>
      </c>
      <c r="R102" s="1">
        <v>5085</v>
      </c>
      <c r="S102" s="10">
        <v>1495</v>
      </c>
      <c r="T102">
        <v>2</v>
      </c>
      <c r="U102" s="1" t="s">
        <v>24</v>
      </c>
    </row>
    <row r="103" spans="1:24" x14ac:dyDescent="0.2">
      <c r="A103" s="1" t="s">
        <v>136</v>
      </c>
      <c r="B103" s="1">
        <v>107</v>
      </c>
      <c r="C103" s="1">
        <v>485.26400000000001</v>
      </c>
      <c r="D103" s="2">
        <f t="shared" si="0"/>
        <v>0.32350933333333332</v>
      </c>
      <c r="E103" s="3">
        <v>45842</v>
      </c>
      <c r="F103" s="4">
        <v>45839</v>
      </c>
      <c r="G103" s="5">
        <f t="shared" si="1"/>
        <v>3</v>
      </c>
      <c r="H103" s="1" t="s">
        <v>18</v>
      </c>
      <c r="I103" s="1">
        <v>60</v>
      </c>
      <c r="J103" s="1">
        <v>411</v>
      </c>
      <c r="K103" s="11" t="s">
        <v>237</v>
      </c>
      <c r="L103" s="6" t="s">
        <v>28</v>
      </c>
      <c r="M103" s="6" t="s">
        <v>28</v>
      </c>
      <c r="N103" s="1">
        <v>7</v>
      </c>
      <c r="O103" s="1">
        <v>397</v>
      </c>
      <c r="P103" s="5">
        <f t="shared" si="3"/>
        <v>390</v>
      </c>
      <c r="Q103" s="1">
        <v>23376</v>
      </c>
      <c r="R103" s="1">
        <v>22457</v>
      </c>
      <c r="S103" s="10">
        <v>21075</v>
      </c>
      <c r="T103">
        <v>1</v>
      </c>
      <c r="U103" s="1" t="s">
        <v>24</v>
      </c>
    </row>
    <row r="104" spans="1:24" x14ac:dyDescent="0.2">
      <c r="A104" s="1" t="s">
        <v>137</v>
      </c>
      <c r="B104" s="1">
        <v>108</v>
      </c>
      <c r="C104" s="1">
        <v>485.56900000000002</v>
      </c>
      <c r="D104" s="2">
        <f t="shared" si="0"/>
        <v>0.3237126666666667</v>
      </c>
      <c r="E104" s="3">
        <v>45842</v>
      </c>
      <c r="F104" s="4">
        <v>45839</v>
      </c>
      <c r="G104" s="5">
        <f t="shared" si="1"/>
        <v>3</v>
      </c>
      <c r="H104" s="1" t="s">
        <v>18</v>
      </c>
      <c r="I104" s="1">
        <v>60</v>
      </c>
      <c r="J104" s="1">
        <v>41</v>
      </c>
      <c r="K104" s="15" t="s">
        <v>238</v>
      </c>
      <c r="L104" s="14" t="s">
        <v>240</v>
      </c>
      <c r="M104" s="6" t="s">
        <v>43</v>
      </c>
      <c r="N104" s="1">
        <v>5</v>
      </c>
      <c r="O104" s="1">
        <v>41</v>
      </c>
      <c r="P104" s="5">
        <f t="shared" si="3"/>
        <v>36</v>
      </c>
      <c r="Q104" s="1">
        <v>2157</v>
      </c>
      <c r="R104" s="1">
        <v>1193</v>
      </c>
      <c r="S104" s="10">
        <v>1010</v>
      </c>
      <c r="T104">
        <v>1</v>
      </c>
      <c r="U104" s="1" t="s">
        <v>24</v>
      </c>
    </row>
    <row r="105" spans="1:24" x14ac:dyDescent="0.2">
      <c r="A105" s="1" t="s">
        <v>138</v>
      </c>
      <c r="B105" s="1">
        <v>109</v>
      </c>
      <c r="C105" s="1">
        <v>483.87</v>
      </c>
      <c r="D105" s="2">
        <f t="shared" si="0"/>
        <v>0.32257999999999998</v>
      </c>
      <c r="E105" s="3">
        <v>45842</v>
      </c>
      <c r="F105" s="4">
        <v>45839</v>
      </c>
      <c r="G105" s="5">
        <f t="shared" si="1"/>
        <v>3</v>
      </c>
      <c r="H105" s="1" t="s">
        <v>18</v>
      </c>
      <c r="I105" s="1">
        <v>60</v>
      </c>
      <c r="J105" s="1">
        <v>160</v>
      </c>
      <c r="K105" s="11" t="s">
        <v>237</v>
      </c>
      <c r="L105" s="6" t="s">
        <v>19</v>
      </c>
      <c r="M105" s="6" t="s">
        <v>28</v>
      </c>
      <c r="N105" s="1">
        <v>6</v>
      </c>
      <c r="O105" s="1">
        <v>75</v>
      </c>
      <c r="P105" s="5">
        <f t="shared" si="3"/>
        <v>69</v>
      </c>
      <c r="Q105" s="1">
        <v>4135</v>
      </c>
      <c r="R105" s="1">
        <v>3256</v>
      </c>
      <c r="S105" s="10">
        <v>2850</v>
      </c>
      <c r="T105">
        <v>1</v>
      </c>
      <c r="U105" s="1" t="s">
        <v>24</v>
      </c>
    </row>
    <row r="106" spans="1:24" x14ac:dyDescent="0.2">
      <c r="A106" s="1" t="s">
        <v>139</v>
      </c>
      <c r="B106" s="1">
        <v>110</v>
      </c>
      <c r="C106" s="1">
        <v>483.50200000000001</v>
      </c>
      <c r="D106" s="2">
        <f t="shared" si="0"/>
        <v>0.32233466666666666</v>
      </c>
      <c r="E106" s="3">
        <v>45842</v>
      </c>
      <c r="F106" s="4">
        <v>45839</v>
      </c>
      <c r="G106" s="5">
        <f t="shared" si="1"/>
        <v>3</v>
      </c>
      <c r="H106" s="1" t="s">
        <v>18</v>
      </c>
      <c r="I106" s="1">
        <v>60</v>
      </c>
      <c r="J106" s="1">
        <v>89</v>
      </c>
      <c r="K106" s="15" t="s">
        <v>238</v>
      </c>
      <c r="L106" s="14" t="s">
        <v>23</v>
      </c>
      <c r="M106" s="6" t="s">
        <v>23</v>
      </c>
      <c r="N106" s="1">
        <v>28</v>
      </c>
      <c r="O106" s="1">
        <v>88</v>
      </c>
      <c r="P106" s="5">
        <f t="shared" si="3"/>
        <v>60</v>
      </c>
      <c r="Q106" s="1">
        <v>3596</v>
      </c>
      <c r="R106" s="1">
        <v>2672</v>
      </c>
      <c r="S106" s="10">
        <v>1451</v>
      </c>
      <c r="T106">
        <v>3</v>
      </c>
      <c r="U106" s="1" t="s">
        <v>24</v>
      </c>
    </row>
    <row r="107" spans="1:24" x14ac:dyDescent="0.2">
      <c r="A107" s="1" t="s">
        <v>140</v>
      </c>
      <c r="B107" s="1">
        <v>111</v>
      </c>
      <c r="C107" s="1">
        <v>483.05200000000002</v>
      </c>
      <c r="D107" s="2">
        <f t="shared" si="0"/>
        <v>0.32203466666666669</v>
      </c>
      <c r="E107" s="3">
        <v>45842</v>
      </c>
      <c r="F107" s="4">
        <v>45839</v>
      </c>
      <c r="G107" s="5">
        <f t="shared" si="1"/>
        <v>3</v>
      </c>
      <c r="H107" s="1" t="s">
        <v>18</v>
      </c>
      <c r="I107" s="1">
        <v>60</v>
      </c>
      <c r="J107" s="1">
        <v>44</v>
      </c>
      <c r="K107" s="11" t="s">
        <v>237</v>
      </c>
      <c r="L107" s="6" t="s">
        <v>19</v>
      </c>
      <c r="M107" s="6" t="s">
        <v>19</v>
      </c>
      <c r="N107" s="1">
        <v>6</v>
      </c>
      <c r="O107" s="1">
        <v>30</v>
      </c>
      <c r="P107" s="5">
        <f t="shared" si="3"/>
        <v>24</v>
      </c>
      <c r="Q107" s="1">
        <v>1438</v>
      </c>
      <c r="R107" s="1">
        <v>551</v>
      </c>
      <c r="S107" s="10">
        <v>409</v>
      </c>
      <c r="T107">
        <v>2</v>
      </c>
      <c r="U107" s="1" t="s">
        <v>24</v>
      </c>
    </row>
    <row r="108" spans="1:24" x14ac:dyDescent="0.2">
      <c r="A108" s="1" t="s">
        <v>141</v>
      </c>
      <c r="B108" s="1">
        <v>112</v>
      </c>
      <c r="C108" s="1">
        <v>485.202</v>
      </c>
      <c r="D108" s="2">
        <f t="shared" si="0"/>
        <v>0.32346799999999998</v>
      </c>
      <c r="E108" s="3">
        <v>45842</v>
      </c>
      <c r="F108" s="4">
        <v>45839</v>
      </c>
      <c r="G108" s="5">
        <f t="shared" si="1"/>
        <v>3</v>
      </c>
      <c r="H108" s="1" t="s">
        <v>18</v>
      </c>
      <c r="I108" s="1">
        <v>60</v>
      </c>
      <c r="J108" s="1">
        <v>34</v>
      </c>
      <c r="K108" s="11" t="s">
        <v>237</v>
      </c>
      <c r="L108" s="6" t="s">
        <v>28</v>
      </c>
      <c r="M108" s="6" t="s">
        <v>28</v>
      </c>
      <c r="N108" s="1">
        <v>6</v>
      </c>
      <c r="O108" s="1">
        <v>28</v>
      </c>
      <c r="P108" s="5">
        <f t="shared" si="3"/>
        <v>22</v>
      </c>
      <c r="Q108" s="1">
        <v>1318</v>
      </c>
      <c r="R108" s="1">
        <v>379</v>
      </c>
      <c r="S108" s="10">
        <v>198</v>
      </c>
      <c r="T108">
        <v>1</v>
      </c>
      <c r="U108" s="1" t="s">
        <v>20</v>
      </c>
      <c r="X108" s="1" t="s">
        <v>132</v>
      </c>
    </row>
    <row r="109" spans="1:24" x14ac:dyDescent="0.2">
      <c r="A109" s="1" t="s">
        <v>142</v>
      </c>
      <c r="B109" s="1">
        <v>113</v>
      </c>
      <c r="C109" s="1">
        <v>484.298</v>
      </c>
      <c r="D109" s="2">
        <f t="shared" si="0"/>
        <v>0.32286533333333334</v>
      </c>
      <c r="E109" s="3">
        <v>45842</v>
      </c>
      <c r="F109" s="4">
        <v>45839</v>
      </c>
      <c r="G109" s="5">
        <f t="shared" si="1"/>
        <v>3</v>
      </c>
      <c r="H109" s="1" t="s">
        <v>18</v>
      </c>
      <c r="I109" s="1">
        <v>60</v>
      </c>
      <c r="J109" s="1">
        <v>365</v>
      </c>
      <c r="K109" s="11" t="s">
        <v>237</v>
      </c>
      <c r="L109" s="6" t="s">
        <v>28</v>
      </c>
      <c r="M109" s="6" t="s">
        <v>28</v>
      </c>
      <c r="N109" s="1">
        <v>7</v>
      </c>
      <c r="O109" s="1">
        <v>358</v>
      </c>
      <c r="P109" s="5">
        <f t="shared" si="3"/>
        <v>351</v>
      </c>
      <c r="Q109" s="1">
        <v>21028</v>
      </c>
      <c r="R109" s="1">
        <v>20092</v>
      </c>
      <c r="S109" s="10">
        <v>19891</v>
      </c>
      <c r="T109">
        <v>2</v>
      </c>
      <c r="U109" s="1" t="s">
        <v>24</v>
      </c>
    </row>
    <row r="110" spans="1:24" x14ac:dyDescent="0.2">
      <c r="A110" s="1" t="s">
        <v>143</v>
      </c>
      <c r="B110" s="1">
        <v>114</v>
      </c>
      <c r="C110" s="1">
        <v>485.26400000000001</v>
      </c>
      <c r="D110" s="2">
        <f t="shared" si="0"/>
        <v>0.32350933333333332</v>
      </c>
      <c r="E110" s="3">
        <v>45842</v>
      </c>
      <c r="F110" s="4">
        <v>45839</v>
      </c>
      <c r="G110" s="5">
        <f t="shared" si="1"/>
        <v>3</v>
      </c>
      <c r="H110" s="1" t="s">
        <v>18</v>
      </c>
      <c r="I110" s="1">
        <v>60</v>
      </c>
      <c r="J110" s="1">
        <v>251</v>
      </c>
      <c r="K110" s="11" t="s">
        <v>237</v>
      </c>
      <c r="L110" s="6" t="s">
        <v>28</v>
      </c>
      <c r="M110" s="6" t="s">
        <v>28</v>
      </c>
      <c r="N110" s="1">
        <v>6</v>
      </c>
      <c r="O110" s="1">
        <v>225</v>
      </c>
      <c r="P110" s="5">
        <f t="shared" si="3"/>
        <v>219</v>
      </c>
      <c r="Q110" s="1">
        <v>13126</v>
      </c>
      <c r="R110" s="1">
        <v>12314</v>
      </c>
      <c r="S110" s="10">
        <v>12075</v>
      </c>
      <c r="T110">
        <v>1</v>
      </c>
      <c r="U110" s="1" t="s">
        <v>24</v>
      </c>
    </row>
    <row r="111" spans="1:24" x14ac:dyDescent="0.2">
      <c r="A111" s="1" t="s">
        <v>144</v>
      </c>
      <c r="B111" s="1">
        <v>115</v>
      </c>
      <c r="C111" s="1">
        <v>486.69499999999999</v>
      </c>
      <c r="D111" s="2">
        <f t="shared" si="0"/>
        <v>0.32446333333333333</v>
      </c>
      <c r="E111" s="3">
        <v>45842</v>
      </c>
      <c r="F111" s="4">
        <v>45839</v>
      </c>
      <c r="G111" s="5">
        <f t="shared" si="1"/>
        <v>3</v>
      </c>
      <c r="H111" s="1" t="s">
        <v>18</v>
      </c>
      <c r="I111" s="1">
        <v>60</v>
      </c>
      <c r="J111" s="1">
        <v>52</v>
      </c>
      <c r="K111" s="11" t="s">
        <v>237</v>
      </c>
      <c r="L111" s="6" t="s">
        <v>28</v>
      </c>
      <c r="M111" s="6" t="s">
        <v>28</v>
      </c>
      <c r="N111" s="1">
        <v>6</v>
      </c>
      <c r="O111" s="1">
        <v>42</v>
      </c>
      <c r="P111" s="5">
        <f t="shared" si="3"/>
        <v>36</v>
      </c>
      <c r="Q111" s="1">
        <v>2157</v>
      </c>
      <c r="R111" s="1">
        <v>1153</v>
      </c>
      <c r="S111" s="10">
        <v>834</v>
      </c>
      <c r="T111">
        <v>1</v>
      </c>
      <c r="U111" s="1" t="s">
        <v>24</v>
      </c>
    </row>
    <row r="112" spans="1:24" x14ac:dyDescent="0.2">
      <c r="A112" s="1" t="s">
        <v>145</v>
      </c>
      <c r="B112" s="1">
        <v>116</v>
      </c>
      <c r="C112" s="1">
        <v>486.33300000000003</v>
      </c>
      <c r="D112" s="2">
        <f t="shared" si="0"/>
        <v>0.32422200000000001</v>
      </c>
      <c r="E112" s="3">
        <v>45842</v>
      </c>
      <c r="F112" s="4">
        <v>45839</v>
      </c>
      <c r="G112" s="5">
        <f t="shared" si="1"/>
        <v>3</v>
      </c>
      <c r="H112" s="1" t="s">
        <v>18</v>
      </c>
      <c r="I112" s="1">
        <v>60</v>
      </c>
      <c r="J112" s="1">
        <v>682</v>
      </c>
      <c r="K112" s="11" t="s">
        <v>237</v>
      </c>
      <c r="L112" s="6" t="s">
        <v>19</v>
      </c>
      <c r="M112" s="6" t="s">
        <v>34</v>
      </c>
      <c r="N112" s="1">
        <v>7</v>
      </c>
      <c r="O112" s="1">
        <v>547</v>
      </c>
      <c r="P112" s="5">
        <f t="shared" si="3"/>
        <v>540</v>
      </c>
      <c r="Q112" s="1">
        <v>32367</v>
      </c>
      <c r="R112" s="1">
        <v>31435</v>
      </c>
      <c r="S112" s="10">
        <v>31280</v>
      </c>
      <c r="T112">
        <v>2</v>
      </c>
      <c r="U112" s="1" t="s">
        <v>24</v>
      </c>
    </row>
    <row r="113" spans="1:24" x14ac:dyDescent="0.2">
      <c r="A113" s="1" t="s">
        <v>146</v>
      </c>
      <c r="B113" s="1">
        <v>117</v>
      </c>
      <c r="C113" s="1">
        <v>485.59300000000002</v>
      </c>
      <c r="D113" s="2">
        <f t="shared" si="0"/>
        <v>0.32372866666666666</v>
      </c>
      <c r="E113" s="3">
        <v>45842</v>
      </c>
      <c r="F113" s="4">
        <v>45839</v>
      </c>
      <c r="G113" s="5">
        <f t="shared" si="1"/>
        <v>3</v>
      </c>
      <c r="H113" s="1" t="s">
        <v>18</v>
      </c>
      <c r="I113" s="1">
        <v>60</v>
      </c>
      <c r="J113" s="1">
        <v>41</v>
      </c>
      <c r="K113" s="11" t="s">
        <v>237</v>
      </c>
      <c r="L113" s="6" t="s">
        <v>28</v>
      </c>
      <c r="M113" s="6" t="s">
        <v>28</v>
      </c>
      <c r="N113" s="1">
        <v>5</v>
      </c>
      <c r="O113" s="1">
        <v>25</v>
      </c>
      <c r="P113" s="5">
        <f t="shared" si="3"/>
        <v>20</v>
      </c>
      <c r="Q113" s="1">
        <v>1198</v>
      </c>
      <c r="R113" s="1">
        <v>378</v>
      </c>
      <c r="S113" s="10">
        <v>164</v>
      </c>
      <c r="T113">
        <v>2</v>
      </c>
      <c r="U113" s="1" t="s">
        <v>24</v>
      </c>
    </row>
    <row r="114" spans="1:24" x14ac:dyDescent="0.2">
      <c r="A114" s="1" t="s">
        <v>147</v>
      </c>
      <c r="B114" s="1">
        <v>118</v>
      </c>
      <c r="C114" s="1">
        <v>485.92700000000002</v>
      </c>
      <c r="D114" s="2">
        <f t="shared" si="0"/>
        <v>0.32395133333333337</v>
      </c>
      <c r="E114" s="3">
        <v>45842</v>
      </c>
      <c r="F114" s="4">
        <v>45839</v>
      </c>
      <c r="G114" s="5">
        <f t="shared" si="1"/>
        <v>3</v>
      </c>
      <c r="H114" s="1" t="s">
        <v>18</v>
      </c>
      <c r="I114" s="1">
        <v>60</v>
      </c>
      <c r="J114" s="1">
        <v>352</v>
      </c>
      <c r="K114" s="11" t="s">
        <v>237</v>
      </c>
      <c r="L114" s="6" t="s">
        <v>19</v>
      </c>
      <c r="M114" s="6" t="s">
        <v>19</v>
      </c>
      <c r="N114" s="1">
        <v>6</v>
      </c>
      <c r="O114" s="1">
        <v>340</v>
      </c>
      <c r="P114" s="5">
        <f t="shared" si="3"/>
        <v>334</v>
      </c>
      <c r="Q114" s="1">
        <v>20019</v>
      </c>
      <c r="R114" s="1">
        <v>19105</v>
      </c>
      <c r="S114" s="10">
        <v>16881</v>
      </c>
      <c r="T114">
        <v>1</v>
      </c>
      <c r="U114" s="1" t="s">
        <v>24</v>
      </c>
    </row>
    <row r="115" spans="1:24" x14ac:dyDescent="0.2">
      <c r="A115" s="1" t="s">
        <v>148</v>
      </c>
      <c r="B115" s="1">
        <v>119</v>
      </c>
      <c r="C115" s="1">
        <v>486.64299999999997</v>
      </c>
      <c r="D115" s="2">
        <f t="shared" si="0"/>
        <v>0.32442866666666664</v>
      </c>
      <c r="E115" s="3">
        <v>45842</v>
      </c>
      <c r="F115" s="4">
        <v>45839</v>
      </c>
      <c r="G115" s="5">
        <f t="shared" si="1"/>
        <v>3</v>
      </c>
      <c r="H115" s="1" t="s">
        <v>18</v>
      </c>
      <c r="I115" s="1">
        <v>60</v>
      </c>
      <c r="J115" s="1">
        <v>450</v>
      </c>
      <c r="K115" s="11" t="s">
        <v>237</v>
      </c>
      <c r="L115" s="6" t="s">
        <v>28</v>
      </c>
      <c r="M115" s="6" t="s">
        <v>28</v>
      </c>
      <c r="N115" s="1">
        <v>6</v>
      </c>
      <c r="O115" s="1">
        <v>73</v>
      </c>
      <c r="P115" s="5">
        <f t="shared" si="3"/>
        <v>67</v>
      </c>
      <c r="Q115" s="1">
        <v>4015</v>
      </c>
      <c r="R115" s="1">
        <v>3063</v>
      </c>
      <c r="S115" s="10">
        <v>2632</v>
      </c>
      <c r="T115">
        <v>1</v>
      </c>
      <c r="U115" s="1" t="s">
        <v>24</v>
      </c>
    </row>
    <row r="116" spans="1:24" x14ac:dyDescent="0.2">
      <c r="A116" s="1" t="s">
        <v>149</v>
      </c>
      <c r="B116" s="1">
        <v>120</v>
      </c>
      <c r="C116" s="1">
        <v>485.23200000000003</v>
      </c>
      <c r="D116" s="2">
        <f t="shared" si="0"/>
        <v>0.323488</v>
      </c>
      <c r="E116" s="3">
        <v>45842</v>
      </c>
      <c r="F116" s="4">
        <v>45839</v>
      </c>
      <c r="G116" s="5">
        <f t="shared" si="1"/>
        <v>3</v>
      </c>
      <c r="H116" s="1" t="s">
        <v>18</v>
      </c>
      <c r="I116" s="1">
        <v>60</v>
      </c>
      <c r="J116" s="1">
        <v>616</v>
      </c>
      <c r="K116" s="11" t="s">
        <v>237</v>
      </c>
      <c r="L116" s="6" t="s">
        <v>28</v>
      </c>
      <c r="M116" s="6" t="s">
        <v>28</v>
      </c>
      <c r="N116" s="1">
        <v>10</v>
      </c>
      <c r="O116" s="1">
        <v>600</v>
      </c>
      <c r="P116" s="5">
        <f t="shared" si="3"/>
        <v>590</v>
      </c>
      <c r="Q116" s="1">
        <v>35364</v>
      </c>
      <c r="R116" s="1">
        <v>34455</v>
      </c>
      <c r="S116" s="10">
        <v>34296</v>
      </c>
      <c r="T116">
        <v>1</v>
      </c>
      <c r="U116" s="1" t="s">
        <v>24</v>
      </c>
    </row>
    <row r="117" spans="1:24" x14ac:dyDescent="0.2">
      <c r="A117" s="1" t="s">
        <v>150</v>
      </c>
      <c r="B117" s="1">
        <v>121</v>
      </c>
      <c r="C117" s="1">
        <v>486.173</v>
      </c>
      <c r="D117" s="2">
        <f t="shared" si="0"/>
        <v>0.32411533333333331</v>
      </c>
      <c r="E117" s="3">
        <v>45842</v>
      </c>
      <c r="F117" s="4">
        <v>45839</v>
      </c>
      <c r="G117" s="5">
        <f t="shared" si="1"/>
        <v>3</v>
      </c>
      <c r="H117" s="1" t="s">
        <v>18</v>
      </c>
      <c r="I117" s="1">
        <v>60</v>
      </c>
      <c r="J117" s="1">
        <v>52</v>
      </c>
      <c r="K117" s="11" t="s">
        <v>237</v>
      </c>
      <c r="L117" s="6" t="s">
        <v>19</v>
      </c>
      <c r="M117" s="6" t="s">
        <v>19</v>
      </c>
      <c r="N117" s="1">
        <v>7</v>
      </c>
      <c r="O117" s="1">
        <v>52</v>
      </c>
      <c r="P117" s="5">
        <f t="shared" si="3"/>
        <v>45</v>
      </c>
      <c r="Q117" s="1">
        <v>2697</v>
      </c>
      <c r="R117" s="1">
        <v>1731</v>
      </c>
      <c r="S117" s="10">
        <v>799</v>
      </c>
      <c r="T117">
        <v>2</v>
      </c>
      <c r="U117" s="1" t="s">
        <v>24</v>
      </c>
    </row>
    <row r="118" spans="1:24" x14ac:dyDescent="0.2">
      <c r="A118" s="1" t="s">
        <v>151</v>
      </c>
      <c r="B118" s="1">
        <v>122</v>
      </c>
      <c r="C118" s="1">
        <v>486.91</v>
      </c>
      <c r="D118" s="2">
        <f t="shared" si="0"/>
        <v>0.32460666666666671</v>
      </c>
      <c r="E118" s="3">
        <v>45842</v>
      </c>
      <c r="F118" s="4">
        <v>45839</v>
      </c>
      <c r="G118" s="5">
        <f t="shared" si="1"/>
        <v>3</v>
      </c>
      <c r="H118" s="1" t="s">
        <v>18</v>
      </c>
      <c r="I118" s="1">
        <v>60</v>
      </c>
      <c r="J118" s="1">
        <v>38</v>
      </c>
      <c r="K118" s="15" t="s">
        <v>238</v>
      </c>
      <c r="L118" s="14" t="s">
        <v>240</v>
      </c>
      <c r="M118" s="6" t="s">
        <v>43</v>
      </c>
      <c r="N118" s="1">
        <v>6</v>
      </c>
      <c r="O118" s="1">
        <v>26</v>
      </c>
      <c r="P118" s="5">
        <f t="shared" si="3"/>
        <v>20</v>
      </c>
      <c r="Q118" s="1">
        <v>1198</v>
      </c>
      <c r="R118" s="1">
        <v>275</v>
      </c>
      <c r="S118" s="10">
        <v>0</v>
      </c>
      <c r="T118">
        <v>1</v>
      </c>
      <c r="U118" s="1" t="s">
        <v>20</v>
      </c>
      <c r="X118" s="1" t="s">
        <v>132</v>
      </c>
    </row>
    <row r="119" spans="1:24" x14ac:dyDescent="0.2">
      <c r="A119" s="1" t="s">
        <v>152</v>
      </c>
      <c r="B119" s="1">
        <v>123</v>
      </c>
      <c r="C119" s="1">
        <v>486.59199999999998</v>
      </c>
      <c r="D119" s="2">
        <f t="shared" si="0"/>
        <v>0.32439466666666666</v>
      </c>
      <c r="E119" s="3">
        <v>45842</v>
      </c>
      <c r="F119" s="4">
        <v>45839</v>
      </c>
      <c r="G119" s="5">
        <f t="shared" si="1"/>
        <v>3</v>
      </c>
      <c r="H119" s="1" t="s">
        <v>18</v>
      </c>
      <c r="I119" s="1">
        <v>60</v>
      </c>
      <c r="J119" s="1">
        <v>54</v>
      </c>
      <c r="K119" s="15" t="s">
        <v>238</v>
      </c>
      <c r="L119" s="14" t="s">
        <v>240</v>
      </c>
      <c r="M119" s="6" t="s">
        <v>43</v>
      </c>
      <c r="N119" s="1">
        <v>5</v>
      </c>
      <c r="O119" s="1">
        <v>43</v>
      </c>
      <c r="P119" s="5">
        <f t="shared" si="3"/>
        <v>38</v>
      </c>
      <c r="Q119" s="1">
        <v>2277</v>
      </c>
      <c r="R119" s="1">
        <v>1375</v>
      </c>
      <c r="S119" s="10">
        <v>973</v>
      </c>
      <c r="T119">
        <v>3</v>
      </c>
      <c r="U119" s="1" t="s">
        <v>24</v>
      </c>
    </row>
    <row r="120" spans="1:24" x14ac:dyDescent="0.2">
      <c r="A120" s="1" t="s">
        <v>153</v>
      </c>
      <c r="B120" s="1">
        <v>124</v>
      </c>
      <c r="C120" s="1">
        <v>487.411</v>
      </c>
      <c r="D120" s="2">
        <f t="shared" si="0"/>
        <v>0.32494066666666666</v>
      </c>
      <c r="E120" s="3">
        <v>45842</v>
      </c>
      <c r="F120" s="4">
        <v>45839</v>
      </c>
      <c r="G120" s="5">
        <f t="shared" si="1"/>
        <v>3</v>
      </c>
      <c r="H120" s="1" t="s">
        <v>18</v>
      </c>
      <c r="I120" s="1">
        <v>60</v>
      </c>
      <c r="J120" s="1">
        <v>75</v>
      </c>
      <c r="K120" s="11" t="s">
        <v>237</v>
      </c>
      <c r="L120" s="6" t="s">
        <v>28</v>
      </c>
      <c r="M120" s="6" t="s">
        <v>28</v>
      </c>
      <c r="N120" s="1">
        <v>5</v>
      </c>
      <c r="O120" s="1">
        <v>61</v>
      </c>
      <c r="P120" s="5">
        <f t="shared" si="3"/>
        <v>56</v>
      </c>
      <c r="Q120" s="1">
        <v>3356</v>
      </c>
      <c r="R120" s="1">
        <v>2466</v>
      </c>
      <c r="S120" s="10">
        <v>1928</v>
      </c>
      <c r="T120">
        <v>2</v>
      </c>
      <c r="U120" s="1" t="s">
        <v>24</v>
      </c>
    </row>
    <row r="121" spans="1:24" x14ac:dyDescent="0.2">
      <c r="A121" s="1" t="s">
        <v>154</v>
      </c>
      <c r="B121" s="1">
        <v>125</v>
      </c>
      <c r="C121" s="1">
        <v>487.51100000000002</v>
      </c>
      <c r="D121" s="2">
        <f t="shared" si="0"/>
        <v>0.32500733333333337</v>
      </c>
      <c r="E121" s="3">
        <v>45842</v>
      </c>
      <c r="F121" s="4">
        <v>45839</v>
      </c>
      <c r="G121" s="5">
        <f t="shared" si="1"/>
        <v>3</v>
      </c>
      <c r="H121" s="1" t="s">
        <v>18</v>
      </c>
      <c r="I121" s="1">
        <v>60</v>
      </c>
      <c r="J121" s="1">
        <v>358</v>
      </c>
      <c r="K121" s="11" t="s">
        <v>237</v>
      </c>
      <c r="L121" s="6" t="s">
        <v>28</v>
      </c>
      <c r="M121" s="6" t="s">
        <v>28</v>
      </c>
      <c r="N121" s="1">
        <v>5</v>
      </c>
      <c r="O121" s="1">
        <v>325</v>
      </c>
      <c r="P121" s="5">
        <f t="shared" si="3"/>
        <v>320</v>
      </c>
      <c r="Q121" s="1">
        <v>16180</v>
      </c>
      <c r="R121" s="1">
        <v>18081</v>
      </c>
      <c r="S121" s="10">
        <v>15934</v>
      </c>
      <c r="T121">
        <v>1</v>
      </c>
      <c r="U121" s="1" t="s">
        <v>24</v>
      </c>
    </row>
    <row r="122" spans="1:24" x14ac:dyDescent="0.2">
      <c r="A122" s="1" t="s">
        <v>155</v>
      </c>
      <c r="B122" s="1">
        <v>126</v>
      </c>
      <c r="C122" s="1">
        <v>485.08300000000003</v>
      </c>
      <c r="D122" s="2">
        <f t="shared" si="0"/>
        <v>0.32338866666666666</v>
      </c>
      <c r="E122" s="3">
        <v>45842</v>
      </c>
      <c r="F122" s="4">
        <v>45839</v>
      </c>
      <c r="G122" s="5">
        <f t="shared" si="1"/>
        <v>3</v>
      </c>
      <c r="H122" s="1" t="s">
        <v>18</v>
      </c>
      <c r="I122" s="1">
        <v>60</v>
      </c>
      <c r="J122" s="1">
        <v>514</v>
      </c>
      <c r="K122" s="15" t="s">
        <v>238</v>
      </c>
      <c r="L122" s="14" t="s">
        <v>23</v>
      </c>
      <c r="M122" s="6" t="s">
        <v>19</v>
      </c>
      <c r="N122" s="1">
        <v>8</v>
      </c>
      <c r="O122" s="1">
        <v>460</v>
      </c>
      <c r="P122" s="5">
        <f t="shared" si="3"/>
        <v>452</v>
      </c>
      <c r="Q122" s="1">
        <v>27092</v>
      </c>
      <c r="R122" s="1">
        <v>26224</v>
      </c>
      <c r="S122" s="10">
        <v>26054</v>
      </c>
      <c r="T122">
        <v>2</v>
      </c>
      <c r="U122" s="1" t="s">
        <v>24</v>
      </c>
    </row>
    <row r="123" spans="1:24" x14ac:dyDescent="0.2">
      <c r="A123" s="1" t="s">
        <v>156</v>
      </c>
      <c r="B123" s="1">
        <v>127</v>
      </c>
      <c r="C123" s="1">
        <v>486.64299999999997</v>
      </c>
      <c r="D123" s="2">
        <f t="shared" si="0"/>
        <v>0.32442866666666664</v>
      </c>
      <c r="E123" s="3">
        <v>45842</v>
      </c>
      <c r="F123" s="4">
        <v>45839</v>
      </c>
      <c r="G123" s="5">
        <f t="shared" si="1"/>
        <v>3</v>
      </c>
      <c r="H123" s="1" t="s">
        <v>18</v>
      </c>
      <c r="I123" s="1">
        <v>60</v>
      </c>
      <c r="J123" s="1">
        <v>478</v>
      </c>
      <c r="K123" s="11" t="s">
        <v>237</v>
      </c>
      <c r="L123" s="6" t="s">
        <v>19</v>
      </c>
      <c r="M123" s="6" t="s">
        <v>19</v>
      </c>
      <c r="N123" s="1">
        <v>5</v>
      </c>
      <c r="O123" s="1">
        <v>435</v>
      </c>
      <c r="P123" s="5">
        <f t="shared" si="3"/>
        <v>430</v>
      </c>
      <c r="Q123" s="1">
        <v>25774</v>
      </c>
      <c r="R123" s="1">
        <v>24840</v>
      </c>
      <c r="S123" s="10">
        <v>24600</v>
      </c>
      <c r="T123">
        <v>2</v>
      </c>
      <c r="U123" s="1" t="s">
        <v>24</v>
      </c>
    </row>
    <row r="124" spans="1:24" x14ac:dyDescent="0.2">
      <c r="A124" s="1" t="s">
        <v>157</v>
      </c>
      <c r="B124" s="1">
        <v>128</v>
      </c>
      <c r="C124" s="1">
        <v>485.10300000000001</v>
      </c>
      <c r="D124" s="2">
        <f t="shared" si="0"/>
        <v>0.32340200000000002</v>
      </c>
      <c r="E124" s="3">
        <v>45842</v>
      </c>
      <c r="F124" s="4">
        <v>45839</v>
      </c>
      <c r="G124" s="5">
        <f t="shared" si="1"/>
        <v>3</v>
      </c>
      <c r="H124" s="1" t="s">
        <v>18</v>
      </c>
      <c r="I124" s="1">
        <v>60</v>
      </c>
      <c r="J124" s="1">
        <v>61</v>
      </c>
      <c r="K124" s="11" t="s">
        <v>237</v>
      </c>
      <c r="L124" s="6" t="s">
        <v>28</v>
      </c>
      <c r="M124" s="6" t="s">
        <v>28</v>
      </c>
      <c r="N124" s="1">
        <v>5</v>
      </c>
      <c r="O124" s="1">
        <v>61</v>
      </c>
      <c r="P124" s="5">
        <f t="shared" si="3"/>
        <v>56</v>
      </c>
      <c r="Q124" s="1">
        <v>3356</v>
      </c>
      <c r="R124" s="1">
        <v>2350</v>
      </c>
      <c r="S124" s="10">
        <v>1548</v>
      </c>
      <c r="T124">
        <v>2</v>
      </c>
      <c r="U124" s="1" t="s">
        <v>24</v>
      </c>
    </row>
    <row r="125" spans="1:24" x14ac:dyDescent="0.2">
      <c r="A125" s="1" t="s">
        <v>158</v>
      </c>
      <c r="B125" s="1">
        <v>129</v>
      </c>
      <c r="C125" s="1">
        <v>488.29599999999999</v>
      </c>
      <c r="D125" s="2">
        <f t="shared" si="0"/>
        <v>0.32553066666666663</v>
      </c>
      <c r="E125" s="3">
        <v>45842</v>
      </c>
      <c r="F125" s="4">
        <v>45839</v>
      </c>
      <c r="G125" s="5">
        <f t="shared" si="1"/>
        <v>3</v>
      </c>
      <c r="H125" s="1" t="s">
        <v>18</v>
      </c>
      <c r="I125" s="1">
        <v>60</v>
      </c>
      <c r="J125" s="1">
        <v>597</v>
      </c>
      <c r="K125" s="15" t="s">
        <v>238</v>
      </c>
      <c r="L125" s="14" t="s">
        <v>240</v>
      </c>
      <c r="M125" s="6" t="s">
        <v>34</v>
      </c>
      <c r="N125" s="1">
        <v>6</v>
      </c>
      <c r="O125" s="1">
        <v>593</v>
      </c>
      <c r="P125" s="5">
        <f t="shared" si="3"/>
        <v>587</v>
      </c>
      <c r="Q125" s="1">
        <v>35184</v>
      </c>
      <c r="R125" s="1">
        <v>34290</v>
      </c>
      <c r="S125" s="10">
        <v>33811</v>
      </c>
      <c r="T125">
        <v>1</v>
      </c>
      <c r="U125" s="1" t="s">
        <v>24</v>
      </c>
    </row>
    <row r="126" spans="1:24" x14ac:dyDescent="0.2">
      <c r="A126" s="1" t="s">
        <v>159</v>
      </c>
      <c r="B126" s="1">
        <v>130</v>
      </c>
      <c r="C126" s="1">
        <v>488.12400000000002</v>
      </c>
      <c r="D126" s="2">
        <f t="shared" si="0"/>
        <v>0.32541600000000004</v>
      </c>
      <c r="E126" s="3">
        <v>45842</v>
      </c>
      <c r="F126" s="4">
        <v>45839</v>
      </c>
      <c r="G126" s="5">
        <f t="shared" si="1"/>
        <v>3</v>
      </c>
      <c r="H126" s="1" t="s">
        <v>18</v>
      </c>
      <c r="I126" s="1">
        <v>60</v>
      </c>
      <c r="J126" s="1">
        <v>60</v>
      </c>
      <c r="K126" s="11" t="s">
        <v>237</v>
      </c>
      <c r="L126" s="6" t="s">
        <v>19</v>
      </c>
      <c r="M126" s="6" t="s">
        <v>19</v>
      </c>
      <c r="N126" s="1">
        <v>7</v>
      </c>
      <c r="O126" s="1">
        <v>41</v>
      </c>
      <c r="P126" s="5">
        <f t="shared" si="3"/>
        <v>34</v>
      </c>
      <c r="Q126" s="1">
        <v>2037</v>
      </c>
      <c r="R126" s="1">
        <v>1159</v>
      </c>
      <c r="S126" s="10">
        <v>876</v>
      </c>
      <c r="T126">
        <v>2</v>
      </c>
      <c r="U126" s="1" t="s">
        <v>24</v>
      </c>
    </row>
    <row r="127" spans="1:24" x14ac:dyDescent="0.2">
      <c r="A127" s="1" t="s">
        <v>160</v>
      </c>
      <c r="B127" s="1">
        <v>131</v>
      </c>
      <c r="C127" s="1">
        <v>485.322</v>
      </c>
      <c r="D127" s="2">
        <f t="shared" si="0"/>
        <v>0.323548</v>
      </c>
      <c r="E127" s="3">
        <v>45842</v>
      </c>
      <c r="F127" s="4">
        <v>45839</v>
      </c>
      <c r="G127" s="5">
        <f t="shared" si="1"/>
        <v>3</v>
      </c>
      <c r="H127" s="1" t="s">
        <v>18</v>
      </c>
      <c r="I127" s="1">
        <v>60</v>
      </c>
      <c r="J127" s="1">
        <v>198</v>
      </c>
      <c r="K127" s="15" t="s">
        <v>238</v>
      </c>
      <c r="L127" s="14" t="s">
        <v>240</v>
      </c>
      <c r="M127" s="6" t="s">
        <v>43</v>
      </c>
      <c r="N127" s="1">
        <v>6</v>
      </c>
      <c r="O127" s="1">
        <v>80</v>
      </c>
      <c r="P127" s="5">
        <f t="shared" si="3"/>
        <v>74</v>
      </c>
      <c r="Q127" s="1">
        <v>4435</v>
      </c>
      <c r="R127" s="1">
        <v>3423</v>
      </c>
      <c r="S127" s="10">
        <v>2630</v>
      </c>
      <c r="T127">
        <v>2</v>
      </c>
      <c r="U127" s="1" t="s">
        <v>20</v>
      </c>
      <c r="X127" s="1" t="s">
        <v>132</v>
      </c>
    </row>
    <row r="128" spans="1:24" x14ac:dyDescent="0.2">
      <c r="A128" s="1" t="s">
        <v>161</v>
      </c>
      <c r="B128" s="1">
        <v>132</v>
      </c>
      <c r="C128" s="1">
        <v>482.3</v>
      </c>
      <c r="D128" s="2">
        <f t="shared" si="0"/>
        <v>0.32153333333333334</v>
      </c>
      <c r="E128" s="4">
        <v>45845</v>
      </c>
      <c r="F128" s="4">
        <v>45841</v>
      </c>
      <c r="G128" s="5">
        <f t="shared" si="1"/>
        <v>4</v>
      </c>
      <c r="H128" s="1" t="s">
        <v>18</v>
      </c>
      <c r="I128" s="1">
        <v>60</v>
      </c>
      <c r="J128" s="1">
        <v>183</v>
      </c>
      <c r="K128" s="15" t="s">
        <v>238</v>
      </c>
      <c r="L128" s="14" t="s">
        <v>240</v>
      </c>
      <c r="M128" s="6" t="s">
        <v>43</v>
      </c>
      <c r="N128" s="1">
        <v>7</v>
      </c>
      <c r="O128" s="1">
        <v>176</v>
      </c>
      <c r="P128" s="5">
        <f t="shared" si="3"/>
        <v>169</v>
      </c>
      <c r="Q128" s="1">
        <v>10129</v>
      </c>
      <c r="R128" s="1">
        <v>9222</v>
      </c>
      <c r="S128" s="10">
        <v>8570</v>
      </c>
      <c r="T128">
        <v>2</v>
      </c>
      <c r="U128" s="1" t="s">
        <v>24</v>
      </c>
    </row>
    <row r="129" spans="1:24" x14ac:dyDescent="0.2">
      <c r="A129" s="1" t="s">
        <v>162</v>
      </c>
      <c r="B129" s="1">
        <v>134</v>
      </c>
      <c r="C129" s="1">
        <v>482.00400000000002</v>
      </c>
      <c r="D129" s="2">
        <f t="shared" si="0"/>
        <v>0.32133600000000001</v>
      </c>
      <c r="E129" s="4">
        <v>45845</v>
      </c>
      <c r="F129" s="4">
        <v>45841</v>
      </c>
      <c r="G129" s="5">
        <f t="shared" si="1"/>
        <v>4</v>
      </c>
      <c r="H129" s="1" t="s">
        <v>18</v>
      </c>
      <c r="I129" s="1">
        <v>60</v>
      </c>
      <c r="J129" s="1">
        <v>45</v>
      </c>
      <c r="K129" s="11" t="s">
        <v>237</v>
      </c>
      <c r="L129" s="6" t="s">
        <v>19</v>
      </c>
      <c r="M129" s="6" t="s">
        <v>19</v>
      </c>
      <c r="N129" s="1">
        <v>6</v>
      </c>
      <c r="O129" s="1">
        <v>34</v>
      </c>
      <c r="P129" s="5">
        <f t="shared" si="3"/>
        <v>28</v>
      </c>
      <c r="Q129" s="1">
        <v>1678</v>
      </c>
      <c r="R129" s="1">
        <v>755</v>
      </c>
      <c r="S129" s="10">
        <v>413</v>
      </c>
      <c r="U129" s="1" t="s">
        <v>24</v>
      </c>
    </row>
    <row r="130" spans="1:24" x14ac:dyDescent="0.2">
      <c r="A130" s="1" t="s">
        <v>163</v>
      </c>
      <c r="B130" s="1">
        <v>135</v>
      </c>
      <c r="C130" s="1">
        <v>483.23899999999998</v>
      </c>
      <c r="D130" s="2">
        <f t="shared" si="0"/>
        <v>0.3221593333333333</v>
      </c>
      <c r="E130" s="4">
        <v>45845</v>
      </c>
      <c r="F130" s="4">
        <v>45841</v>
      </c>
      <c r="G130" s="5">
        <f t="shared" si="1"/>
        <v>4</v>
      </c>
      <c r="H130" s="1" t="s">
        <v>18</v>
      </c>
      <c r="I130" s="1">
        <v>60</v>
      </c>
      <c r="J130" s="1">
        <v>144</v>
      </c>
      <c r="K130" s="11" t="s">
        <v>237</v>
      </c>
      <c r="L130" s="6" t="s">
        <v>28</v>
      </c>
      <c r="M130" s="6" t="s">
        <v>28</v>
      </c>
      <c r="N130" s="1">
        <v>6</v>
      </c>
      <c r="O130" s="1">
        <v>138</v>
      </c>
      <c r="P130" s="5">
        <f t="shared" si="3"/>
        <v>132</v>
      </c>
      <c r="Q130" s="1">
        <v>7912</v>
      </c>
      <c r="R130" s="1">
        <v>7019</v>
      </c>
      <c r="S130" s="10">
        <v>5973</v>
      </c>
      <c r="T130">
        <v>2</v>
      </c>
      <c r="U130" s="1" t="s">
        <v>24</v>
      </c>
    </row>
    <row r="131" spans="1:24" x14ac:dyDescent="0.2">
      <c r="A131" s="1" t="s">
        <v>164</v>
      </c>
      <c r="B131" s="1">
        <v>136</v>
      </c>
      <c r="C131" s="1">
        <v>482.02600000000001</v>
      </c>
      <c r="D131" s="2">
        <f t="shared" si="0"/>
        <v>0.32135066666666667</v>
      </c>
      <c r="E131" s="4">
        <v>45845</v>
      </c>
      <c r="F131" s="4">
        <v>45841</v>
      </c>
      <c r="G131" s="5">
        <f t="shared" si="1"/>
        <v>4</v>
      </c>
      <c r="H131" s="1" t="s">
        <v>18</v>
      </c>
      <c r="I131" s="1">
        <v>60</v>
      </c>
      <c r="J131" s="1">
        <v>92</v>
      </c>
      <c r="K131" s="15" t="s">
        <v>238</v>
      </c>
      <c r="L131" s="14" t="s">
        <v>240</v>
      </c>
      <c r="M131" s="6" t="s">
        <v>43</v>
      </c>
      <c r="N131" s="1">
        <v>5</v>
      </c>
      <c r="O131" s="1">
        <v>77</v>
      </c>
      <c r="P131" s="5">
        <f t="shared" si="3"/>
        <v>72</v>
      </c>
      <c r="Q131" s="1">
        <v>4315</v>
      </c>
      <c r="R131" s="1">
        <v>3376</v>
      </c>
      <c r="S131" s="10">
        <v>3073</v>
      </c>
      <c r="T131">
        <v>2</v>
      </c>
      <c r="U131" s="1" t="s">
        <v>24</v>
      </c>
    </row>
    <row r="132" spans="1:24" x14ac:dyDescent="0.2">
      <c r="A132" s="1" t="s">
        <v>165</v>
      </c>
      <c r="B132" s="1">
        <v>137</v>
      </c>
      <c r="C132" s="1">
        <v>482.06599999999997</v>
      </c>
      <c r="D132" s="2">
        <f t="shared" si="0"/>
        <v>0.32137733333333329</v>
      </c>
      <c r="E132" s="4">
        <v>45845</v>
      </c>
      <c r="F132" s="4">
        <v>45841</v>
      </c>
      <c r="G132" s="5">
        <f t="shared" si="1"/>
        <v>4</v>
      </c>
      <c r="H132" s="1" t="s">
        <v>18</v>
      </c>
      <c r="I132" s="1">
        <v>60</v>
      </c>
      <c r="J132" s="1">
        <v>138</v>
      </c>
      <c r="K132" s="11" t="s">
        <v>237</v>
      </c>
      <c r="L132" s="6" t="s">
        <v>19</v>
      </c>
      <c r="M132" s="6" t="s">
        <v>34</v>
      </c>
      <c r="N132" s="1">
        <v>7</v>
      </c>
      <c r="O132" s="1">
        <v>125</v>
      </c>
      <c r="P132" s="5">
        <f t="shared" si="3"/>
        <v>118</v>
      </c>
      <c r="Q132" s="1">
        <v>7072</v>
      </c>
      <c r="R132" s="1">
        <v>6165</v>
      </c>
      <c r="S132" s="10">
        <v>5156</v>
      </c>
      <c r="T132">
        <v>2</v>
      </c>
      <c r="U132" s="1" t="s">
        <v>24</v>
      </c>
    </row>
    <row r="133" spans="1:24" x14ac:dyDescent="0.2">
      <c r="A133" s="1" t="s">
        <v>166</v>
      </c>
      <c r="B133" s="1">
        <v>138</v>
      </c>
      <c r="C133" s="1">
        <v>483.29899999999998</v>
      </c>
      <c r="D133" s="2">
        <f t="shared" si="0"/>
        <v>0.32219933333333334</v>
      </c>
      <c r="E133" s="4">
        <v>45845</v>
      </c>
      <c r="F133" s="4">
        <v>45841</v>
      </c>
      <c r="G133" s="5">
        <f t="shared" si="1"/>
        <v>4</v>
      </c>
      <c r="H133" s="1" t="s">
        <v>18</v>
      </c>
      <c r="I133" s="1">
        <v>60</v>
      </c>
      <c r="J133" s="1">
        <v>206</v>
      </c>
      <c r="K133" s="15" t="s">
        <v>238</v>
      </c>
      <c r="L133" s="14" t="s">
        <v>240</v>
      </c>
      <c r="M133" s="6" t="s">
        <v>34</v>
      </c>
      <c r="N133" s="1">
        <v>7</v>
      </c>
      <c r="O133" s="1">
        <v>198</v>
      </c>
      <c r="P133" s="5">
        <f t="shared" si="3"/>
        <v>191</v>
      </c>
      <c r="Q133" s="1">
        <v>11448</v>
      </c>
      <c r="R133" s="1">
        <v>10515</v>
      </c>
      <c r="S133" s="10">
        <v>8886</v>
      </c>
      <c r="T133">
        <v>2</v>
      </c>
      <c r="U133" s="1" t="s">
        <v>24</v>
      </c>
    </row>
    <row r="134" spans="1:24" x14ac:dyDescent="0.2">
      <c r="A134" s="1" t="s">
        <v>167</v>
      </c>
      <c r="B134" s="1">
        <v>139</v>
      </c>
      <c r="C134" s="1">
        <v>482.93299999999999</v>
      </c>
      <c r="D134" s="2">
        <f t="shared" si="0"/>
        <v>0.32195533333333332</v>
      </c>
      <c r="E134" s="4">
        <v>45845</v>
      </c>
      <c r="F134" s="4">
        <v>45841</v>
      </c>
      <c r="G134" s="5">
        <f t="shared" si="1"/>
        <v>4</v>
      </c>
      <c r="H134" s="1" t="s">
        <v>18</v>
      </c>
      <c r="I134" s="1">
        <v>60</v>
      </c>
      <c r="J134" s="1">
        <v>729</v>
      </c>
      <c r="K134" s="15" t="s">
        <v>238</v>
      </c>
      <c r="L134" s="14" t="s">
        <v>23</v>
      </c>
      <c r="M134" s="6" t="s">
        <v>23</v>
      </c>
      <c r="N134" s="1">
        <v>180</v>
      </c>
      <c r="O134" s="1">
        <v>727</v>
      </c>
      <c r="P134" s="5">
        <f t="shared" si="3"/>
        <v>547</v>
      </c>
      <c r="Q134" s="1">
        <v>32787</v>
      </c>
      <c r="R134" s="1">
        <v>31660</v>
      </c>
      <c r="S134" s="10">
        <v>30952</v>
      </c>
      <c r="T134">
        <v>2</v>
      </c>
      <c r="U134" s="1" t="s">
        <v>20</v>
      </c>
      <c r="X134" s="1" t="s">
        <v>168</v>
      </c>
    </row>
    <row r="135" spans="1:24" x14ac:dyDescent="0.2">
      <c r="A135" s="1" t="s">
        <v>169</v>
      </c>
      <c r="B135" s="1">
        <v>140</v>
      </c>
      <c r="C135" s="1">
        <v>483.26499999999999</v>
      </c>
      <c r="D135" s="2">
        <f t="shared" si="0"/>
        <v>0.32217666666666667</v>
      </c>
      <c r="E135" s="4">
        <v>45845</v>
      </c>
      <c r="F135" s="4">
        <v>45841</v>
      </c>
      <c r="G135" s="5">
        <f t="shared" si="1"/>
        <v>4</v>
      </c>
      <c r="H135" s="1" t="s">
        <v>18</v>
      </c>
      <c r="I135" s="1">
        <v>60</v>
      </c>
      <c r="J135" s="1">
        <v>272</v>
      </c>
      <c r="K135" s="11" t="s">
        <v>237</v>
      </c>
      <c r="L135" s="6" t="s">
        <v>19</v>
      </c>
      <c r="M135" s="6" t="s">
        <v>19</v>
      </c>
      <c r="N135" s="1">
        <v>6</v>
      </c>
      <c r="O135" s="1">
        <v>246</v>
      </c>
      <c r="P135" s="5">
        <f t="shared" si="3"/>
        <v>240</v>
      </c>
      <c r="Q135" s="1">
        <v>14385</v>
      </c>
      <c r="R135" s="1">
        <v>13486</v>
      </c>
      <c r="S135" s="10">
        <v>13380</v>
      </c>
      <c r="T135">
        <v>3</v>
      </c>
      <c r="U135" s="1" t="s">
        <v>20</v>
      </c>
      <c r="X135" s="1" t="s">
        <v>168</v>
      </c>
    </row>
    <row r="136" spans="1:24" x14ac:dyDescent="0.2">
      <c r="A136" s="1" t="s">
        <v>170</v>
      </c>
      <c r="B136" s="1">
        <v>141</v>
      </c>
      <c r="C136" s="1">
        <v>482.41500000000002</v>
      </c>
      <c r="D136" s="2">
        <f t="shared" si="0"/>
        <v>0.32161000000000001</v>
      </c>
      <c r="E136" s="4">
        <v>45845</v>
      </c>
      <c r="F136" s="4">
        <v>45841</v>
      </c>
      <c r="G136" s="5">
        <f t="shared" si="1"/>
        <v>4</v>
      </c>
      <c r="H136" s="1" t="s">
        <v>18</v>
      </c>
      <c r="I136" s="1">
        <v>60</v>
      </c>
      <c r="J136" s="1">
        <v>137</v>
      </c>
      <c r="K136" s="15" t="s">
        <v>238</v>
      </c>
      <c r="L136" s="14" t="s">
        <v>23</v>
      </c>
      <c r="M136" s="6" t="s">
        <v>23</v>
      </c>
      <c r="N136" s="1">
        <v>6</v>
      </c>
      <c r="O136" s="1">
        <v>121</v>
      </c>
      <c r="P136" s="5">
        <f t="shared" si="3"/>
        <v>115</v>
      </c>
      <c r="Q136" s="1">
        <v>6893</v>
      </c>
      <c r="R136" s="1">
        <v>5995</v>
      </c>
      <c r="S136" s="10">
        <v>4579</v>
      </c>
      <c r="T136">
        <v>2</v>
      </c>
      <c r="U136" s="1" t="s">
        <v>24</v>
      </c>
    </row>
    <row r="137" spans="1:24" x14ac:dyDescent="0.2">
      <c r="A137" s="1" t="s">
        <v>171</v>
      </c>
      <c r="B137" s="1">
        <v>142</v>
      </c>
      <c r="C137" s="1">
        <v>481.15</v>
      </c>
      <c r="D137" s="2">
        <f t="shared" si="0"/>
        <v>0.32076666666666664</v>
      </c>
      <c r="E137" s="4">
        <v>45845</v>
      </c>
      <c r="F137" s="4">
        <v>45841</v>
      </c>
      <c r="G137" s="5">
        <f t="shared" si="1"/>
        <v>4</v>
      </c>
      <c r="H137" s="1" t="s">
        <v>18</v>
      </c>
      <c r="I137" s="1">
        <v>60</v>
      </c>
      <c r="J137" s="1">
        <v>165</v>
      </c>
      <c r="K137" s="11" t="s">
        <v>237</v>
      </c>
      <c r="L137" s="6" t="s">
        <v>28</v>
      </c>
      <c r="M137" s="6" t="s">
        <v>28</v>
      </c>
      <c r="N137" s="1">
        <v>8</v>
      </c>
      <c r="O137" s="1">
        <v>150</v>
      </c>
      <c r="P137" s="5">
        <f t="shared" si="3"/>
        <v>142</v>
      </c>
      <c r="Q137" s="1">
        <v>8511</v>
      </c>
      <c r="R137" s="1">
        <v>7588</v>
      </c>
      <c r="S137" s="10">
        <v>7326</v>
      </c>
      <c r="T137">
        <v>2</v>
      </c>
      <c r="U137" s="1" t="s">
        <v>24</v>
      </c>
    </row>
    <row r="138" spans="1:24" x14ac:dyDescent="0.2">
      <c r="A138" s="1" t="s">
        <v>172</v>
      </c>
      <c r="B138" s="1">
        <v>143</v>
      </c>
      <c r="C138" s="1">
        <v>483.53</v>
      </c>
      <c r="D138" s="2">
        <f t="shared" si="0"/>
        <v>0.32235333333333333</v>
      </c>
      <c r="E138" s="4">
        <v>45845</v>
      </c>
      <c r="F138" s="4">
        <v>45841</v>
      </c>
      <c r="G138" s="5">
        <f t="shared" si="1"/>
        <v>4</v>
      </c>
      <c r="H138" s="1" t="s">
        <v>18</v>
      </c>
      <c r="I138" s="1">
        <v>60</v>
      </c>
      <c r="J138" s="1">
        <v>97</v>
      </c>
      <c r="K138" s="11" t="s">
        <v>237</v>
      </c>
      <c r="L138" s="6" t="s">
        <v>28</v>
      </c>
      <c r="M138" s="6" t="s">
        <v>28</v>
      </c>
      <c r="N138" s="1">
        <v>6</v>
      </c>
      <c r="O138" s="1">
        <v>63</v>
      </c>
      <c r="P138" s="5">
        <f t="shared" si="3"/>
        <v>57</v>
      </c>
      <c r="Q138" s="1">
        <v>3416</v>
      </c>
      <c r="R138" s="1">
        <v>2507</v>
      </c>
      <c r="S138" s="10">
        <v>2133</v>
      </c>
      <c r="T138">
        <v>1</v>
      </c>
      <c r="U138" s="1" t="s">
        <v>24</v>
      </c>
    </row>
    <row r="139" spans="1:24" x14ac:dyDescent="0.2">
      <c r="A139" s="1" t="s">
        <v>173</v>
      </c>
      <c r="B139" s="1">
        <v>145</v>
      </c>
      <c r="C139" s="1">
        <v>483.17500000000001</v>
      </c>
      <c r="D139" s="2">
        <f t="shared" si="0"/>
        <v>0.32211666666666666</v>
      </c>
      <c r="E139" s="4">
        <v>45845</v>
      </c>
      <c r="F139" s="4">
        <v>45841</v>
      </c>
      <c r="G139" s="5">
        <f t="shared" si="1"/>
        <v>4</v>
      </c>
      <c r="H139" s="1" t="s">
        <v>18</v>
      </c>
      <c r="I139" s="1">
        <v>60</v>
      </c>
      <c r="J139" s="1">
        <v>121</v>
      </c>
      <c r="K139" s="11" t="s">
        <v>237</v>
      </c>
      <c r="L139" s="6" t="s">
        <v>19</v>
      </c>
      <c r="M139" s="6" t="s">
        <v>28</v>
      </c>
      <c r="N139" s="1">
        <v>7</v>
      </c>
      <c r="O139" s="1">
        <v>93</v>
      </c>
      <c r="P139" s="5">
        <f t="shared" si="3"/>
        <v>86</v>
      </c>
      <c r="Q139" s="1">
        <v>5154</v>
      </c>
      <c r="R139" s="1">
        <v>4156</v>
      </c>
      <c r="S139" s="10">
        <v>3750</v>
      </c>
      <c r="T139">
        <v>1</v>
      </c>
      <c r="U139" s="1" t="s">
        <v>24</v>
      </c>
    </row>
    <row r="140" spans="1:24" x14ac:dyDescent="0.2">
      <c r="A140" s="1" t="s">
        <v>174</v>
      </c>
      <c r="B140" s="1">
        <v>146</v>
      </c>
      <c r="C140" s="1">
        <v>483.41399999999999</v>
      </c>
      <c r="D140" s="2">
        <f t="shared" si="0"/>
        <v>0.32227600000000001</v>
      </c>
      <c r="E140" s="4">
        <v>45845</v>
      </c>
      <c r="F140" s="4">
        <v>45841</v>
      </c>
      <c r="G140" s="5">
        <f t="shared" si="1"/>
        <v>4</v>
      </c>
      <c r="H140" s="1" t="s">
        <v>18</v>
      </c>
      <c r="I140" s="1">
        <v>60</v>
      </c>
      <c r="J140" s="1">
        <v>193</v>
      </c>
      <c r="K140" s="11" t="s">
        <v>237</v>
      </c>
      <c r="L140" s="6" t="s">
        <v>28</v>
      </c>
      <c r="M140" s="6" t="s">
        <v>28</v>
      </c>
      <c r="N140" s="1">
        <v>5</v>
      </c>
      <c r="O140" s="1">
        <v>163</v>
      </c>
      <c r="P140" s="5">
        <f t="shared" si="3"/>
        <v>158</v>
      </c>
      <c r="Q140" s="1">
        <v>9470</v>
      </c>
      <c r="R140" s="1">
        <v>8492</v>
      </c>
      <c r="S140" s="10">
        <v>6361</v>
      </c>
      <c r="T140">
        <v>1</v>
      </c>
      <c r="U140" s="1" t="s">
        <v>20</v>
      </c>
      <c r="X140" s="1" t="s">
        <v>132</v>
      </c>
    </row>
    <row r="141" spans="1:24" x14ac:dyDescent="0.2">
      <c r="A141" s="1" t="s">
        <v>175</v>
      </c>
      <c r="B141" s="1">
        <v>147</v>
      </c>
      <c r="C141" s="1">
        <v>484.41899999999998</v>
      </c>
      <c r="D141" s="2">
        <f t="shared" si="0"/>
        <v>0.32294600000000001</v>
      </c>
      <c r="E141" s="4">
        <v>45845</v>
      </c>
      <c r="F141" s="4">
        <v>45841</v>
      </c>
      <c r="G141" s="5">
        <f t="shared" si="1"/>
        <v>4</v>
      </c>
      <c r="H141" s="1" t="s">
        <v>18</v>
      </c>
      <c r="I141" s="1">
        <v>60</v>
      </c>
      <c r="J141" s="1">
        <v>31</v>
      </c>
      <c r="K141" s="15" t="s">
        <v>238</v>
      </c>
      <c r="L141" s="14" t="s">
        <v>23</v>
      </c>
      <c r="M141" s="6" t="s">
        <v>23</v>
      </c>
      <c r="N141" s="1">
        <v>5</v>
      </c>
      <c r="O141" s="1">
        <v>25</v>
      </c>
      <c r="P141" s="5">
        <f t="shared" si="3"/>
        <v>20</v>
      </c>
      <c r="Q141" s="1">
        <v>1198</v>
      </c>
      <c r="R141" s="1">
        <v>314</v>
      </c>
      <c r="S141" s="10">
        <v>0</v>
      </c>
      <c r="T141">
        <v>2</v>
      </c>
      <c r="U141" s="1" t="s">
        <v>24</v>
      </c>
    </row>
    <row r="142" spans="1:24" x14ac:dyDescent="0.2">
      <c r="A142" s="1" t="s">
        <v>176</v>
      </c>
      <c r="B142" s="1">
        <v>148</v>
      </c>
      <c r="C142" s="1">
        <v>484.10300000000001</v>
      </c>
      <c r="D142" s="2">
        <f t="shared" si="0"/>
        <v>0.32273533333333332</v>
      </c>
      <c r="E142" s="4">
        <v>45845</v>
      </c>
      <c r="F142" s="4">
        <v>45841</v>
      </c>
      <c r="G142" s="5">
        <f t="shared" si="1"/>
        <v>4</v>
      </c>
      <c r="H142" s="1" t="s">
        <v>18</v>
      </c>
      <c r="I142" s="1">
        <v>60</v>
      </c>
      <c r="J142" s="1">
        <v>129</v>
      </c>
      <c r="K142" s="11" t="s">
        <v>237</v>
      </c>
      <c r="L142" s="6" t="s">
        <v>28</v>
      </c>
      <c r="M142" s="6" t="s">
        <v>28</v>
      </c>
      <c r="N142" s="1">
        <v>7</v>
      </c>
      <c r="O142" s="1">
        <v>94</v>
      </c>
      <c r="P142" s="5">
        <f t="shared" si="3"/>
        <v>87</v>
      </c>
      <c r="Q142" s="1">
        <v>5214</v>
      </c>
      <c r="R142" s="1">
        <v>4332</v>
      </c>
      <c r="S142" s="10">
        <v>4019</v>
      </c>
      <c r="T142">
        <v>2</v>
      </c>
      <c r="U142" s="1" t="s">
        <v>24</v>
      </c>
    </row>
    <row r="143" spans="1:24" x14ac:dyDescent="0.2">
      <c r="A143" s="1" t="s">
        <v>177</v>
      </c>
      <c r="B143" s="1">
        <v>149</v>
      </c>
      <c r="C143" s="1">
        <v>484.125</v>
      </c>
      <c r="D143" s="2">
        <f t="shared" si="0"/>
        <v>0.32274999999999998</v>
      </c>
      <c r="E143" s="4">
        <v>45845</v>
      </c>
      <c r="F143" s="4">
        <v>45841</v>
      </c>
      <c r="G143" s="5">
        <f t="shared" si="1"/>
        <v>4</v>
      </c>
      <c r="H143" s="1" t="s">
        <v>18</v>
      </c>
      <c r="I143" s="1">
        <v>60</v>
      </c>
      <c r="J143" s="1">
        <v>135</v>
      </c>
      <c r="K143" s="11" t="s">
        <v>237</v>
      </c>
      <c r="L143" s="6" t="s">
        <v>28</v>
      </c>
      <c r="M143" s="6" t="s">
        <v>28</v>
      </c>
      <c r="N143" s="1">
        <v>6</v>
      </c>
      <c r="O143" s="1">
        <v>130</v>
      </c>
      <c r="P143" s="5">
        <f t="shared" si="3"/>
        <v>124</v>
      </c>
      <c r="Q143" s="1">
        <v>7432</v>
      </c>
      <c r="R143" s="1">
        <v>6444</v>
      </c>
      <c r="S143" s="10">
        <v>6212</v>
      </c>
      <c r="T143">
        <v>2</v>
      </c>
      <c r="U143" s="1" t="s">
        <v>24</v>
      </c>
    </row>
    <row r="144" spans="1:24" x14ac:dyDescent="0.2">
      <c r="A144" s="1" t="s">
        <v>178</v>
      </c>
      <c r="B144" s="1">
        <v>150</v>
      </c>
      <c r="C144" s="1">
        <v>485.06599999999997</v>
      </c>
      <c r="D144" s="2">
        <f t="shared" si="0"/>
        <v>0.32337733333333329</v>
      </c>
      <c r="E144" s="4">
        <v>45845</v>
      </c>
      <c r="F144" s="4">
        <v>45841</v>
      </c>
      <c r="G144" s="5">
        <f t="shared" si="1"/>
        <v>4</v>
      </c>
      <c r="H144" s="1" t="s">
        <v>18</v>
      </c>
      <c r="I144" s="1">
        <v>60</v>
      </c>
      <c r="J144" s="1">
        <v>109</v>
      </c>
      <c r="K144" s="15" t="s">
        <v>238</v>
      </c>
      <c r="L144" s="14" t="s">
        <v>23</v>
      </c>
      <c r="M144" s="6" t="s">
        <v>236</v>
      </c>
      <c r="N144" s="1">
        <v>10</v>
      </c>
      <c r="O144" s="1">
        <v>87</v>
      </c>
      <c r="P144" s="5">
        <f t="shared" si="3"/>
        <v>77</v>
      </c>
      <c r="Q144" s="1">
        <v>4615</v>
      </c>
      <c r="R144" s="1">
        <v>3678</v>
      </c>
      <c r="S144" s="10">
        <v>3578</v>
      </c>
      <c r="T144">
        <v>1</v>
      </c>
      <c r="U144" s="1" t="s">
        <v>24</v>
      </c>
    </row>
    <row r="145" spans="1:24" x14ac:dyDescent="0.2">
      <c r="A145" s="1" t="s">
        <v>179</v>
      </c>
      <c r="B145" s="1">
        <v>151</v>
      </c>
      <c r="C145" s="1">
        <v>493.60500000000002</v>
      </c>
      <c r="D145" s="2">
        <f t="shared" si="0"/>
        <v>0.32907000000000003</v>
      </c>
      <c r="E145" s="3">
        <v>45847</v>
      </c>
      <c r="F145" s="4">
        <v>45842</v>
      </c>
      <c r="G145" s="5">
        <f t="shared" si="1"/>
        <v>5</v>
      </c>
      <c r="H145" s="1" t="s">
        <v>18</v>
      </c>
      <c r="I145" s="1">
        <v>60</v>
      </c>
      <c r="J145" s="1">
        <v>121</v>
      </c>
      <c r="K145" s="15" t="s">
        <v>238</v>
      </c>
      <c r="L145" s="14" t="s">
        <v>23</v>
      </c>
      <c r="M145" s="6" t="s">
        <v>23</v>
      </c>
      <c r="N145" s="1">
        <v>5</v>
      </c>
      <c r="O145" s="1">
        <v>115</v>
      </c>
      <c r="P145" s="5">
        <f t="shared" si="3"/>
        <v>110</v>
      </c>
      <c r="Q145" s="1">
        <v>6593</v>
      </c>
      <c r="R145" s="1">
        <v>5691</v>
      </c>
      <c r="S145" s="10">
        <v>5518</v>
      </c>
      <c r="T145">
        <v>1</v>
      </c>
      <c r="U145" s="1" t="s">
        <v>24</v>
      </c>
    </row>
    <row r="146" spans="1:24" x14ac:dyDescent="0.2">
      <c r="A146" s="1" t="s">
        <v>180</v>
      </c>
      <c r="B146" s="1">
        <v>152</v>
      </c>
      <c r="C146" s="1">
        <v>494.02499999999998</v>
      </c>
      <c r="D146" s="2">
        <f t="shared" si="0"/>
        <v>0.32934999999999998</v>
      </c>
      <c r="E146" s="3">
        <v>45847</v>
      </c>
      <c r="F146" s="4">
        <v>45842</v>
      </c>
      <c r="G146" s="5">
        <f t="shared" si="1"/>
        <v>5</v>
      </c>
      <c r="H146" s="1" t="s">
        <v>18</v>
      </c>
      <c r="I146" s="1">
        <v>60</v>
      </c>
      <c r="J146" s="1">
        <v>257</v>
      </c>
      <c r="K146" s="11" t="s">
        <v>237</v>
      </c>
      <c r="L146" s="6" t="s">
        <v>28</v>
      </c>
      <c r="M146" s="6" t="s">
        <v>28</v>
      </c>
      <c r="N146" s="1">
        <v>6</v>
      </c>
      <c r="O146" s="1">
        <v>245</v>
      </c>
      <c r="P146" s="5">
        <f t="shared" si="3"/>
        <v>239</v>
      </c>
      <c r="Q146" s="1">
        <v>14325</v>
      </c>
      <c r="R146" s="1">
        <v>13630</v>
      </c>
      <c r="S146" s="10">
        <v>13380</v>
      </c>
      <c r="T146">
        <v>1</v>
      </c>
      <c r="U146" s="1" t="s">
        <v>24</v>
      </c>
      <c r="V146" s="1"/>
      <c r="W146" s="1"/>
    </row>
    <row r="147" spans="1:24" x14ac:dyDescent="0.2">
      <c r="A147" s="1" t="s">
        <v>181</v>
      </c>
      <c r="B147" s="1">
        <v>154</v>
      </c>
      <c r="C147" s="1">
        <v>495.065</v>
      </c>
      <c r="D147" s="2">
        <f t="shared" si="0"/>
        <v>0.33004333333333336</v>
      </c>
      <c r="E147" s="3">
        <v>45847</v>
      </c>
      <c r="F147" s="4">
        <v>45842</v>
      </c>
      <c r="G147" s="5">
        <f t="shared" si="1"/>
        <v>5</v>
      </c>
      <c r="H147" s="1" t="s">
        <v>18</v>
      </c>
      <c r="I147" s="1">
        <v>60</v>
      </c>
      <c r="J147" s="1">
        <v>47</v>
      </c>
      <c r="K147" s="15" t="s">
        <v>238</v>
      </c>
      <c r="L147" s="14" t="s">
        <v>240</v>
      </c>
      <c r="M147" s="6" t="s">
        <v>43</v>
      </c>
      <c r="N147" s="1">
        <v>5</v>
      </c>
      <c r="O147" s="1">
        <v>35</v>
      </c>
      <c r="P147" s="5">
        <f t="shared" si="3"/>
        <v>30</v>
      </c>
      <c r="Q147" s="1">
        <v>1798</v>
      </c>
      <c r="R147" s="1">
        <v>835</v>
      </c>
      <c r="S147" s="10">
        <v>656</v>
      </c>
      <c r="T147">
        <v>2</v>
      </c>
      <c r="U147" s="1" t="s">
        <v>24</v>
      </c>
    </row>
    <row r="148" spans="1:24" x14ac:dyDescent="0.2">
      <c r="A148" s="1" t="s">
        <v>182</v>
      </c>
      <c r="B148" s="1">
        <v>155</v>
      </c>
      <c r="C148" s="1">
        <v>496.17</v>
      </c>
      <c r="D148" s="2">
        <f t="shared" si="0"/>
        <v>0.33078000000000002</v>
      </c>
      <c r="E148" s="3">
        <v>45847</v>
      </c>
      <c r="F148" s="4">
        <v>45842</v>
      </c>
      <c r="G148" s="5">
        <f t="shared" si="1"/>
        <v>5</v>
      </c>
      <c r="H148" s="1" t="s">
        <v>18</v>
      </c>
      <c r="I148" s="1">
        <v>60</v>
      </c>
      <c r="J148" s="1">
        <v>197</v>
      </c>
      <c r="K148" s="15" t="s">
        <v>238</v>
      </c>
      <c r="L148" s="14" t="s">
        <v>23</v>
      </c>
      <c r="M148" s="6" t="s">
        <v>23</v>
      </c>
      <c r="N148" s="1">
        <v>5</v>
      </c>
      <c r="O148" s="1">
        <v>182</v>
      </c>
      <c r="P148" s="5">
        <f t="shared" si="3"/>
        <v>177</v>
      </c>
      <c r="Q148" s="1">
        <v>10609</v>
      </c>
      <c r="R148" s="1">
        <v>9585</v>
      </c>
      <c r="S148" s="10">
        <v>9429</v>
      </c>
      <c r="T148">
        <v>2</v>
      </c>
      <c r="U148" s="1" t="s">
        <v>20</v>
      </c>
      <c r="X148" s="1" t="s">
        <v>79</v>
      </c>
    </row>
    <row r="149" spans="1:24" x14ac:dyDescent="0.2">
      <c r="A149" s="1" t="s">
        <v>183</v>
      </c>
      <c r="B149" s="1">
        <v>156</v>
      </c>
      <c r="C149" s="1">
        <v>494.02499999999998</v>
      </c>
      <c r="D149" s="2">
        <f t="shared" si="0"/>
        <v>0.32934999999999998</v>
      </c>
      <c r="E149" s="3">
        <v>45847</v>
      </c>
      <c r="F149" s="4">
        <v>45842</v>
      </c>
      <c r="G149" s="5">
        <f t="shared" si="1"/>
        <v>5</v>
      </c>
      <c r="H149" s="1" t="s">
        <v>18</v>
      </c>
      <c r="I149" s="1">
        <v>60</v>
      </c>
      <c r="J149" s="1">
        <v>49</v>
      </c>
      <c r="K149" s="11" t="s">
        <v>237</v>
      </c>
      <c r="L149" s="6" t="s">
        <v>19</v>
      </c>
      <c r="M149" s="6" t="s">
        <v>19</v>
      </c>
      <c r="N149" s="1">
        <v>6</v>
      </c>
      <c r="O149" s="1">
        <v>43</v>
      </c>
      <c r="P149" s="5">
        <f t="shared" si="3"/>
        <v>37</v>
      </c>
      <c r="Q149" s="1">
        <v>2217</v>
      </c>
      <c r="R149" s="1">
        <v>1290</v>
      </c>
      <c r="S149" s="10">
        <v>1021</v>
      </c>
      <c r="T149">
        <v>1</v>
      </c>
      <c r="U149" s="1" t="s">
        <v>24</v>
      </c>
    </row>
    <row r="150" spans="1:24" x14ac:dyDescent="0.2">
      <c r="A150" s="1" t="s">
        <v>184</v>
      </c>
      <c r="B150" s="1">
        <v>157</v>
      </c>
      <c r="C150" s="1">
        <v>496.17</v>
      </c>
      <c r="D150" s="2">
        <f t="shared" si="0"/>
        <v>0.33078000000000002</v>
      </c>
      <c r="E150" s="3">
        <v>45847</v>
      </c>
      <c r="F150" s="4">
        <v>45842</v>
      </c>
      <c r="G150" s="5">
        <f t="shared" si="1"/>
        <v>5</v>
      </c>
      <c r="H150" s="1" t="s">
        <v>18</v>
      </c>
      <c r="I150" s="1">
        <v>60</v>
      </c>
      <c r="J150" s="1">
        <v>249</v>
      </c>
      <c r="K150" s="11" t="s">
        <v>237</v>
      </c>
      <c r="L150" s="6" t="s">
        <v>28</v>
      </c>
      <c r="M150" s="6" t="s">
        <v>19</v>
      </c>
      <c r="N150" s="1">
        <v>5</v>
      </c>
      <c r="O150" s="1">
        <v>210</v>
      </c>
      <c r="P150" s="5">
        <f t="shared" si="3"/>
        <v>205</v>
      </c>
      <c r="Q150" s="1">
        <v>12287</v>
      </c>
      <c r="R150" s="1">
        <v>11342</v>
      </c>
      <c r="S150" s="10">
        <v>11030</v>
      </c>
      <c r="T150">
        <v>1</v>
      </c>
      <c r="U150" s="1" t="s">
        <v>24</v>
      </c>
      <c r="V150" s="1"/>
      <c r="W150" s="1"/>
      <c r="X150" s="1" t="s">
        <v>185</v>
      </c>
    </row>
    <row r="151" spans="1:24" x14ac:dyDescent="0.2">
      <c r="A151" s="1" t="s">
        <v>186</v>
      </c>
      <c r="B151" s="1">
        <v>158</v>
      </c>
      <c r="C151" s="1">
        <v>495.036</v>
      </c>
      <c r="D151" s="2">
        <f t="shared" si="0"/>
        <v>0.33002399999999998</v>
      </c>
      <c r="E151" s="3">
        <v>45847</v>
      </c>
      <c r="F151" s="4">
        <v>45842</v>
      </c>
      <c r="G151" s="5">
        <f t="shared" si="1"/>
        <v>5</v>
      </c>
      <c r="H151" s="1" t="s">
        <v>18</v>
      </c>
      <c r="I151" s="1">
        <v>60</v>
      </c>
      <c r="J151" s="1">
        <v>186</v>
      </c>
      <c r="K151" s="15" t="s">
        <v>238</v>
      </c>
      <c r="L151" s="14" t="s">
        <v>23</v>
      </c>
      <c r="M151" s="6" t="s">
        <v>23</v>
      </c>
      <c r="N151" s="1">
        <v>6</v>
      </c>
      <c r="O151" s="1">
        <v>280</v>
      </c>
      <c r="P151" s="5">
        <f t="shared" si="3"/>
        <v>274</v>
      </c>
      <c r="Q151" s="1">
        <v>10800</v>
      </c>
      <c r="R151" s="1">
        <v>8471</v>
      </c>
      <c r="S151" s="10">
        <v>8368</v>
      </c>
      <c r="T151">
        <v>2</v>
      </c>
      <c r="U151" s="1" t="s">
        <v>24</v>
      </c>
      <c r="V151" s="1"/>
      <c r="W151" s="1"/>
      <c r="X151" s="1" t="s">
        <v>185</v>
      </c>
    </row>
    <row r="152" spans="1:24" x14ac:dyDescent="0.2">
      <c r="A152" s="1" t="s">
        <v>187</v>
      </c>
      <c r="B152" s="1">
        <v>159</v>
      </c>
      <c r="C152" s="1">
        <v>494.12200000000001</v>
      </c>
      <c r="D152" s="2">
        <f t="shared" si="0"/>
        <v>0.32941466666666669</v>
      </c>
      <c r="E152" s="3">
        <v>45847</v>
      </c>
      <c r="F152" s="4">
        <v>45842</v>
      </c>
      <c r="G152" s="5">
        <f t="shared" si="1"/>
        <v>5</v>
      </c>
      <c r="H152" s="1" t="s">
        <v>18</v>
      </c>
      <c r="I152" s="1">
        <v>60</v>
      </c>
      <c r="J152" s="1">
        <v>66</v>
      </c>
      <c r="K152" s="11" t="s">
        <v>237</v>
      </c>
      <c r="L152" s="6" t="s">
        <v>19</v>
      </c>
      <c r="M152" s="6" t="s">
        <v>236</v>
      </c>
      <c r="N152" s="1">
        <v>8</v>
      </c>
      <c r="O152" s="1">
        <v>45</v>
      </c>
      <c r="P152" s="5">
        <f t="shared" si="3"/>
        <v>37</v>
      </c>
      <c r="Q152" s="1">
        <v>2217</v>
      </c>
      <c r="R152" s="1">
        <v>1421</v>
      </c>
      <c r="S152" s="10">
        <v>1400</v>
      </c>
      <c r="T152" s="1">
        <v>3</v>
      </c>
      <c r="U152" s="1" t="s">
        <v>24</v>
      </c>
    </row>
    <row r="153" spans="1:24" x14ac:dyDescent="0.2">
      <c r="A153" s="1" t="s">
        <v>188</v>
      </c>
      <c r="B153" s="1">
        <v>160</v>
      </c>
      <c r="C153" s="1">
        <v>495.14499999999998</v>
      </c>
      <c r="D153" s="2">
        <f t="shared" si="0"/>
        <v>0.33009666666666665</v>
      </c>
      <c r="E153" s="3">
        <v>45847</v>
      </c>
      <c r="F153" s="4">
        <v>45842</v>
      </c>
      <c r="G153" s="5">
        <f t="shared" si="1"/>
        <v>5</v>
      </c>
      <c r="H153" s="1" t="s">
        <v>18</v>
      </c>
      <c r="I153" s="1">
        <v>60</v>
      </c>
      <c r="J153" s="1">
        <v>124</v>
      </c>
      <c r="K153" s="11" t="s">
        <v>237</v>
      </c>
      <c r="L153" s="6" t="s">
        <v>19</v>
      </c>
      <c r="M153" s="6" t="s">
        <v>19</v>
      </c>
      <c r="N153" s="1">
        <v>6</v>
      </c>
      <c r="O153" s="1">
        <v>110</v>
      </c>
      <c r="P153" s="5">
        <f t="shared" si="3"/>
        <v>104</v>
      </c>
      <c r="Q153" s="1">
        <v>6233</v>
      </c>
      <c r="R153" s="1">
        <v>5294</v>
      </c>
      <c r="S153" s="10">
        <v>4893</v>
      </c>
      <c r="T153" s="1">
        <v>2</v>
      </c>
      <c r="U153" s="1" t="s">
        <v>24</v>
      </c>
    </row>
    <row r="154" spans="1:24" x14ac:dyDescent="0.2">
      <c r="A154" s="1" t="s">
        <v>189</v>
      </c>
      <c r="B154" s="1">
        <v>161</v>
      </c>
      <c r="C154" s="1">
        <v>493.05</v>
      </c>
      <c r="D154" s="2">
        <f t="shared" si="0"/>
        <v>0.32869999999999999</v>
      </c>
      <c r="E154" s="3">
        <v>45847</v>
      </c>
      <c r="F154" s="4">
        <v>45842</v>
      </c>
      <c r="G154" s="5">
        <f t="shared" si="1"/>
        <v>5</v>
      </c>
      <c r="H154" s="1" t="s">
        <v>18</v>
      </c>
      <c r="I154" s="1">
        <v>60</v>
      </c>
      <c r="J154" s="1">
        <v>35</v>
      </c>
      <c r="K154" s="15" t="s">
        <v>238</v>
      </c>
      <c r="L154" s="14" t="s">
        <v>23</v>
      </c>
      <c r="M154" s="6" t="s">
        <v>23</v>
      </c>
      <c r="N154" s="1">
        <v>6</v>
      </c>
      <c r="O154" s="1">
        <v>23</v>
      </c>
      <c r="P154" s="5">
        <f t="shared" si="3"/>
        <v>17</v>
      </c>
      <c r="Q154" s="1">
        <v>1018</v>
      </c>
      <c r="R154" s="1">
        <v>101</v>
      </c>
      <c r="S154" s="10">
        <v>47</v>
      </c>
      <c r="T154">
        <v>2</v>
      </c>
      <c r="U154" s="1" t="s">
        <v>24</v>
      </c>
    </row>
    <row r="155" spans="1:24" x14ac:dyDescent="0.2">
      <c r="A155" s="1" t="s">
        <v>190</v>
      </c>
      <c r="B155" s="1">
        <v>162</v>
      </c>
      <c r="C155" s="1">
        <v>496.17</v>
      </c>
      <c r="D155" s="2">
        <f t="shared" si="0"/>
        <v>0.33078000000000002</v>
      </c>
      <c r="E155" s="3">
        <v>45847</v>
      </c>
      <c r="F155" s="4">
        <v>45842</v>
      </c>
      <c r="G155" s="5">
        <f t="shared" si="1"/>
        <v>5</v>
      </c>
      <c r="H155" s="1" t="s">
        <v>18</v>
      </c>
      <c r="I155" s="1">
        <v>60</v>
      </c>
      <c r="J155" s="1">
        <v>119</v>
      </c>
      <c r="K155" s="11" t="s">
        <v>237</v>
      </c>
      <c r="L155" s="6" t="s">
        <v>28</v>
      </c>
      <c r="M155" s="6" t="s">
        <v>28</v>
      </c>
      <c r="N155" s="1">
        <v>6</v>
      </c>
      <c r="O155" s="1">
        <v>98</v>
      </c>
      <c r="P155" s="5">
        <f t="shared" si="3"/>
        <v>92</v>
      </c>
      <c r="Q155" s="1">
        <v>5514</v>
      </c>
      <c r="R155" s="1">
        <v>4794</v>
      </c>
      <c r="S155" s="10">
        <v>4604</v>
      </c>
      <c r="T155">
        <v>2</v>
      </c>
      <c r="U155" s="1" t="s">
        <v>24</v>
      </c>
    </row>
    <row r="156" spans="1:24" x14ac:dyDescent="0.2">
      <c r="A156" s="1" t="s">
        <v>191</v>
      </c>
      <c r="B156" s="1">
        <v>163</v>
      </c>
      <c r="C156" s="1">
        <v>496.14499999999998</v>
      </c>
      <c r="D156" s="2">
        <f t="shared" si="0"/>
        <v>0.3307633333333333</v>
      </c>
      <c r="E156" s="3">
        <v>45847</v>
      </c>
      <c r="F156" s="4">
        <v>45842</v>
      </c>
      <c r="G156" s="5">
        <f t="shared" si="1"/>
        <v>5</v>
      </c>
      <c r="H156" s="1" t="s">
        <v>18</v>
      </c>
      <c r="I156" s="1">
        <v>60</v>
      </c>
      <c r="J156" s="1">
        <v>81</v>
      </c>
      <c r="K156" s="15" t="s">
        <v>238</v>
      </c>
      <c r="L156" s="14" t="s">
        <v>34</v>
      </c>
      <c r="M156" s="6" t="s">
        <v>34</v>
      </c>
      <c r="N156" s="1">
        <v>5</v>
      </c>
      <c r="O156" s="1">
        <v>65</v>
      </c>
      <c r="P156" s="5">
        <f t="shared" si="3"/>
        <v>60</v>
      </c>
      <c r="Q156" s="1">
        <v>3596</v>
      </c>
      <c r="R156" s="1">
        <v>2643</v>
      </c>
      <c r="S156" s="10">
        <v>2315</v>
      </c>
      <c r="T156">
        <v>2</v>
      </c>
      <c r="U156" s="1" t="s">
        <v>24</v>
      </c>
    </row>
    <row r="157" spans="1:24" x14ac:dyDescent="0.2">
      <c r="A157" s="1" t="s">
        <v>192</v>
      </c>
      <c r="B157" s="1">
        <v>164</v>
      </c>
      <c r="C157" s="1">
        <v>495.791</v>
      </c>
      <c r="D157" s="2">
        <f t="shared" si="0"/>
        <v>0.33052733333333334</v>
      </c>
      <c r="E157" s="3">
        <v>45847</v>
      </c>
      <c r="F157" s="4">
        <v>45842</v>
      </c>
      <c r="G157" s="5">
        <f t="shared" si="1"/>
        <v>5</v>
      </c>
      <c r="H157" s="1" t="s">
        <v>18</v>
      </c>
      <c r="I157" s="1">
        <v>60</v>
      </c>
      <c r="J157" s="1">
        <v>36</v>
      </c>
      <c r="K157" s="15" t="s">
        <v>238</v>
      </c>
      <c r="L157" s="14" t="s">
        <v>23</v>
      </c>
      <c r="M157" s="6" t="s">
        <v>23</v>
      </c>
      <c r="N157" s="1">
        <v>8</v>
      </c>
      <c r="O157" s="1">
        <v>30</v>
      </c>
      <c r="P157" s="5">
        <f t="shared" si="3"/>
        <v>22</v>
      </c>
      <c r="Q157" s="1">
        <v>1318</v>
      </c>
      <c r="R157" s="1">
        <v>407</v>
      </c>
      <c r="S157" s="10">
        <v>0</v>
      </c>
      <c r="T157">
        <v>1</v>
      </c>
      <c r="U157" s="1" t="s">
        <v>24</v>
      </c>
    </row>
    <row r="158" spans="1:24" x14ac:dyDescent="0.2">
      <c r="A158" s="1" t="s">
        <v>193</v>
      </c>
      <c r="B158" s="1">
        <v>165</v>
      </c>
      <c r="C158" s="1">
        <v>497.08100000000002</v>
      </c>
      <c r="D158" s="2">
        <f t="shared" si="0"/>
        <v>0.33138733333333337</v>
      </c>
      <c r="E158" s="3">
        <v>45847</v>
      </c>
      <c r="F158" s="4">
        <v>45842</v>
      </c>
      <c r="G158" s="5">
        <f t="shared" si="1"/>
        <v>5</v>
      </c>
      <c r="H158" s="1" t="s">
        <v>18</v>
      </c>
      <c r="I158" s="1">
        <v>60</v>
      </c>
      <c r="J158" s="1">
        <v>56</v>
      </c>
      <c r="K158" s="15" t="s">
        <v>238</v>
      </c>
      <c r="L158" s="14" t="s">
        <v>23</v>
      </c>
      <c r="M158" s="6" t="s">
        <v>23</v>
      </c>
      <c r="N158" s="1">
        <v>6</v>
      </c>
      <c r="O158" s="1">
        <v>48</v>
      </c>
      <c r="P158" s="5">
        <f t="shared" si="3"/>
        <v>42</v>
      </c>
      <c r="Q158" s="1">
        <v>2517</v>
      </c>
      <c r="R158" s="1">
        <v>1634</v>
      </c>
      <c r="S158" s="10">
        <v>1592</v>
      </c>
      <c r="T158">
        <v>2</v>
      </c>
      <c r="U158" s="1" t="s">
        <v>24</v>
      </c>
      <c r="V158" s="1"/>
      <c r="W158" s="1"/>
      <c r="X158" s="1" t="s">
        <v>194</v>
      </c>
    </row>
    <row r="159" spans="1:24" x14ac:dyDescent="0.2">
      <c r="A159" s="1" t="s">
        <v>195</v>
      </c>
      <c r="B159" s="1">
        <v>166</v>
      </c>
      <c r="C159" s="1">
        <v>496.14499999999998</v>
      </c>
      <c r="D159" s="2">
        <f t="shared" si="0"/>
        <v>0.3307633333333333</v>
      </c>
      <c r="E159" s="3">
        <v>45847</v>
      </c>
      <c r="F159" s="4">
        <v>45842</v>
      </c>
      <c r="G159" s="5">
        <f t="shared" si="1"/>
        <v>5</v>
      </c>
      <c r="H159" s="1" t="s">
        <v>18</v>
      </c>
      <c r="I159" s="1">
        <v>60</v>
      </c>
      <c r="J159" s="1">
        <v>172</v>
      </c>
      <c r="K159" s="11" t="s">
        <v>237</v>
      </c>
      <c r="L159" s="6" t="s">
        <v>28</v>
      </c>
      <c r="M159" s="6" t="s">
        <v>19</v>
      </c>
      <c r="N159" s="1">
        <v>7</v>
      </c>
      <c r="O159" s="1">
        <v>132</v>
      </c>
      <c r="P159" s="5">
        <f t="shared" si="3"/>
        <v>125</v>
      </c>
      <c r="Q159" s="1">
        <v>7492</v>
      </c>
      <c r="R159" s="1">
        <v>6571</v>
      </c>
      <c r="S159" s="10">
        <v>6422</v>
      </c>
      <c r="T159">
        <v>2</v>
      </c>
      <c r="U159" s="1" t="s">
        <v>24</v>
      </c>
    </row>
    <row r="160" spans="1:24" x14ac:dyDescent="0.2">
      <c r="A160" s="1" t="s">
        <v>196</v>
      </c>
      <c r="B160" s="1">
        <v>167</v>
      </c>
      <c r="C160" s="1">
        <v>497.101</v>
      </c>
      <c r="D160" s="2">
        <f t="shared" si="0"/>
        <v>0.33140066666666668</v>
      </c>
      <c r="E160" s="3">
        <v>45847</v>
      </c>
      <c r="F160" s="4">
        <v>45842</v>
      </c>
      <c r="G160" s="5">
        <f t="shared" si="1"/>
        <v>5</v>
      </c>
      <c r="H160" s="1" t="s">
        <v>18</v>
      </c>
      <c r="I160" s="1">
        <v>60</v>
      </c>
      <c r="J160" s="1">
        <v>131</v>
      </c>
      <c r="K160" s="11" t="s">
        <v>237</v>
      </c>
      <c r="L160" s="6" t="s">
        <v>28</v>
      </c>
      <c r="M160" s="6" t="s">
        <v>28</v>
      </c>
      <c r="N160" s="1">
        <v>7</v>
      </c>
      <c r="O160" s="1">
        <v>50</v>
      </c>
      <c r="P160" s="5">
        <f t="shared" si="3"/>
        <v>43</v>
      </c>
      <c r="Q160" s="1">
        <v>2577</v>
      </c>
      <c r="R160" s="1">
        <v>1701</v>
      </c>
      <c r="S160" s="10">
        <v>1496</v>
      </c>
      <c r="T160" s="1">
        <v>1</v>
      </c>
      <c r="U160" s="1" t="s">
        <v>24</v>
      </c>
    </row>
    <row r="161" spans="1:24" x14ac:dyDescent="0.2">
      <c r="A161" s="1" t="s">
        <v>197</v>
      </c>
      <c r="B161" s="1">
        <v>168</v>
      </c>
      <c r="C161" s="1">
        <v>496.00099999999998</v>
      </c>
      <c r="D161" s="2">
        <f t="shared" si="0"/>
        <v>0.33066733333333331</v>
      </c>
      <c r="E161" s="3">
        <v>45847</v>
      </c>
      <c r="F161" s="4">
        <v>45842</v>
      </c>
      <c r="G161" s="5">
        <f t="shared" si="1"/>
        <v>5</v>
      </c>
      <c r="H161" s="1" t="s">
        <v>18</v>
      </c>
      <c r="I161" s="1">
        <v>60</v>
      </c>
      <c r="J161" s="1">
        <v>120</v>
      </c>
      <c r="K161" s="11" t="s">
        <v>237</v>
      </c>
      <c r="L161" s="6" t="s">
        <v>28</v>
      </c>
      <c r="M161" s="6" t="s">
        <v>28</v>
      </c>
      <c r="N161" s="1">
        <v>6</v>
      </c>
      <c r="O161" s="1">
        <v>55</v>
      </c>
      <c r="P161" s="5">
        <f t="shared" si="3"/>
        <v>49</v>
      </c>
      <c r="Q161" s="1">
        <v>2937</v>
      </c>
      <c r="R161" s="1">
        <v>1933</v>
      </c>
      <c r="S161" s="10">
        <v>886</v>
      </c>
      <c r="T161">
        <v>2</v>
      </c>
      <c r="U161" s="1" t="s">
        <v>24</v>
      </c>
    </row>
    <row r="162" spans="1:24" x14ac:dyDescent="0.2">
      <c r="A162" s="1" t="s">
        <v>198</v>
      </c>
      <c r="B162" s="1">
        <v>169</v>
      </c>
      <c r="C162" s="1">
        <v>495.02499999999998</v>
      </c>
      <c r="D162" s="2">
        <f t="shared" si="0"/>
        <v>0.33001666666666662</v>
      </c>
      <c r="E162" s="3">
        <v>45847</v>
      </c>
      <c r="F162" s="4">
        <v>45842</v>
      </c>
      <c r="G162" s="5">
        <f t="shared" si="1"/>
        <v>5</v>
      </c>
      <c r="H162" s="1" t="s">
        <v>18</v>
      </c>
      <c r="I162" s="1">
        <v>60</v>
      </c>
      <c r="J162" s="1">
        <v>44</v>
      </c>
      <c r="K162" s="15" t="s">
        <v>238</v>
      </c>
      <c r="L162" s="14" t="s">
        <v>240</v>
      </c>
      <c r="M162" s="6" t="s">
        <v>43</v>
      </c>
      <c r="N162" s="1">
        <v>7</v>
      </c>
      <c r="O162" s="1">
        <v>35</v>
      </c>
      <c r="P162" s="5">
        <f t="shared" si="3"/>
        <v>28</v>
      </c>
      <c r="Q162" s="1">
        <v>1678</v>
      </c>
      <c r="R162" s="1">
        <v>823</v>
      </c>
      <c r="S162" s="10">
        <v>714</v>
      </c>
      <c r="T162">
        <v>2</v>
      </c>
      <c r="U162" s="1" t="s">
        <v>24</v>
      </c>
    </row>
    <row r="163" spans="1:24" x14ac:dyDescent="0.2">
      <c r="A163" s="1" t="s">
        <v>199</v>
      </c>
      <c r="B163" s="1">
        <v>170</v>
      </c>
      <c r="C163" s="1">
        <v>494.00900000000001</v>
      </c>
      <c r="D163" s="2">
        <f t="shared" si="0"/>
        <v>0.32933933333333332</v>
      </c>
      <c r="E163" s="3">
        <v>45847</v>
      </c>
      <c r="F163" s="4">
        <v>45842</v>
      </c>
      <c r="G163" s="5">
        <f t="shared" si="1"/>
        <v>5</v>
      </c>
      <c r="H163" s="1" t="s">
        <v>18</v>
      </c>
      <c r="I163" s="1">
        <v>60</v>
      </c>
      <c r="J163" s="1">
        <v>97</v>
      </c>
      <c r="K163" s="11" t="s">
        <v>237</v>
      </c>
      <c r="L163" s="6" t="s">
        <v>19</v>
      </c>
      <c r="M163" s="6" t="s">
        <v>19</v>
      </c>
      <c r="N163" s="1">
        <v>5</v>
      </c>
      <c r="O163" s="1">
        <v>52</v>
      </c>
      <c r="P163" s="5">
        <f t="shared" si="3"/>
        <v>47</v>
      </c>
      <c r="Q163" s="1">
        <v>2817</v>
      </c>
      <c r="R163" s="1">
        <v>1935</v>
      </c>
      <c r="S163" s="10">
        <v>1521</v>
      </c>
      <c r="T163">
        <v>2</v>
      </c>
      <c r="U163" s="1" t="s">
        <v>24</v>
      </c>
      <c r="V163" s="1"/>
      <c r="W163" s="1"/>
      <c r="X163" s="1" t="s">
        <v>200</v>
      </c>
    </row>
    <row r="164" spans="1:24" x14ac:dyDescent="0.2">
      <c r="A164" s="1" t="s">
        <v>201</v>
      </c>
      <c r="B164" s="1">
        <v>171</v>
      </c>
      <c r="C164" s="1">
        <v>496.01600000000002</v>
      </c>
      <c r="D164" s="2">
        <f t="shared" si="0"/>
        <v>0.33067733333333332</v>
      </c>
      <c r="E164" s="3">
        <v>45847</v>
      </c>
      <c r="F164" s="4">
        <v>45842</v>
      </c>
      <c r="G164" s="5">
        <f t="shared" si="1"/>
        <v>5</v>
      </c>
      <c r="H164" s="1" t="s">
        <v>18</v>
      </c>
      <c r="I164" s="1">
        <v>60</v>
      </c>
      <c r="J164" s="1">
        <v>231</v>
      </c>
      <c r="K164" s="11" t="s">
        <v>237</v>
      </c>
      <c r="L164" s="6" t="s">
        <v>19</v>
      </c>
      <c r="M164" s="6" t="s">
        <v>34</v>
      </c>
      <c r="N164" s="1">
        <v>7</v>
      </c>
      <c r="O164" s="1">
        <v>179</v>
      </c>
      <c r="P164" s="5">
        <f t="shared" si="3"/>
        <v>172</v>
      </c>
      <c r="Q164" s="1">
        <v>10309</v>
      </c>
      <c r="R164" s="1">
        <v>9346</v>
      </c>
      <c r="S164" s="10">
        <v>9140</v>
      </c>
      <c r="T164">
        <v>2</v>
      </c>
      <c r="U164" s="1" t="s">
        <v>24</v>
      </c>
    </row>
    <row r="165" spans="1:24" x14ac:dyDescent="0.2">
      <c r="A165" s="1" t="s">
        <v>202</v>
      </c>
      <c r="B165" s="1">
        <v>172</v>
      </c>
      <c r="C165" s="1">
        <v>492.03699999999998</v>
      </c>
      <c r="D165" s="2">
        <f t="shared" si="0"/>
        <v>0.32802466666666663</v>
      </c>
      <c r="E165" s="3">
        <v>45847</v>
      </c>
      <c r="F165" s="4">
        <v>45842</v>
      </c>
      <c r="G165" s="5">
        <f t="shared" si="1"/>
        <v>5</v>
      </c>
      <c r="H165" s="1" t="s">
        <v>18</v>
      </c>
      <c r="I165" s="1">
        <v>60</v>
      </c>
      <c r="J165" s="1">
        <v>72</v>
      </c>
      <c r="K165" s="15" t="s">
        <v>238</v>
      </c>
      <c r="L165" s="14" t="s">
        <v>240</v>
      </c>
      <c r="M165" s="6" t="s">
        <v>43</v>
      </c>
      <c r="N165" s="1">
        <v>8</v>
      </c>
      <c r="O165" s="1">
        <v>40</v>
      </c>
      <c r="P165" s="5">
        <f t="shared" si="3"/>
        <v>32</v>
      </c>
      <c r="Q165" s="1">
        <v>1918</v>
      </c>
      <c r="R165" s="1">
        <v>967</v>
      </c>
      <c r="S165" s="10">
        <v>824</v>
      </c>
      <c r="T165" s="1">
        <v>3</v>
      </c>
      <c r="U165" s="1" t="s">
        <v>24</v>
      </c>
    </row>
    <row r="166" spans="1:24" x14ac:dyDescent="0.2">
      <c r="A166" s="1" t="s">
        <v>203</v>
      </c>
      <c r="B166" s="1">
        <v>173</v>
      </c>
      <c r="C166" s="1">
        <v>493.01600000000002</v>
      </c>
      <c r="D166" s="2">
        <f t="shared" si="0"/>
        <v>0.32867733333333332</v>
      </c>
      <c r="E166" s="3">
        <v>45847</v>
      </c>
      <c r="F166" s="4">
        <v>45842</v>
      </c>
      <c r="G166" s="5">
        <f t="shared" si="1"/>
        <v>5</v>
      </c>
      <c r="H166" s="1" t="s">
        <v>18</v>
      </c>
      <c r="I166" s="1">
        <v>60</v>
      </c>
      <c r="J166" s="1">
        <v>119</v>
      </c>
      <c r="K166" s="15" t="s">
        <v>238</v>
      </c>
      <c r="L166" s="14" t="s">
        <v>23</v>
      </c>
      <c r="M166" s="6" t="s">
        <v>23</v>
      </c>
      <c r="N166" s="1">
        <v>6</v>
      </c>
      <c r="O166" s="1">
        <v>103</v>
      </c>
      <c r="P166" s="5">
        <f t="shared" si="3"/>
        <v>97</v>
      </c>
      <c r="Q166" s="1">
        <v>5814</v>
      </c>
      <c r="R166" s="1">
        <v>4890</v>
      </c>
      <c r="S166" s="10">
        <v>4059</v>
      </c>
      <c r="T166">
        <v>2</v>
      </c>
      <c r="U166" s="1" t="s">
        <v>24</v>
      </c>
    </row>
    <row r="167" spans="1:24" x14ac:dyDescent="0.2">
      <c r="A167" s="1" t="s">
        <v>204</v>
      </c>
      <c r="B167" s="1">
        <v>174</v>
      </c>
      <c r="C167" s="1">
        <v>492.14600000000002</v>
      </c>
      <c r="D167" s="2">
        <f t="shared" si="0"/>
        <v>0.32809733333333335</v>
      </c>
      <c r="E167" s="3">
        <v>45847</v>
      </c>
      <c r="F167" s="4">
        <v>45842</v>
      </c>
      <c r="G167" s="5">
        <f t="shared" si="1"/>
        <v>5</v>
      </c>
      <c r="H167" s="1" t="s">
        <v>18</v>
      </c>
      <c r="I167" s="1">
        <v>60</v>
      </c>
      <c r="J167" s="1">
        <v>71</v>
      </c>
      <c r="K167" s="11" t="s">
        <v>237</v>
      </c>
      <c r="L167" s="6" t="s">
        <v>28</v>
      </c>
      <c r="M167" s="6" t="s">
        <v>28</v>
      </c>
      <c r="N167" s="1">
        <v>5</v>
      </c>
      <c r="O167" s="1">
        <v>60</v>
      </c>
      <c r="P167" s="5">
        <f t="shared" si="3"/>
        <v>55</v>
      </c>
      <c r="Q167" s="1">
        <v>3296</v>
      </c>
      <c r="R167" s="1">
        <v>2414</v>
      </c>
      <c r="S167" s="10">
        <v>2282</v>
      </c>
      <c r="T167">
        <v>2</v>
      </c>
      <c r="U167" s="1" t="s">
        <v>24</v>
      </c>
    </row>
    <row r="168" spans="1:24" x14ac:dyDescent="0.2">
      <c r="A168" s="1" t="s">
        <v>205</v>
      </c>
      <c r="B168" s="1">
        <v>175</v>
      </c>
      <c r="C168" s="1">
        <v>492.12299999999999</v>
      </c>
      <c r="D168" s="2">
        <f t="shared" si="0"/>
        <v>0.32808199999999998</v>
      </c>
      <c r="E168" s="3">
        <v>45847</v>
      </c>
      <c r="F168" s="4">
        <v>45842</v>
      </c>
      <c r="G168" s="5">
        <f t="shared" si="1"/>
        <v>5</v>
      </c>
      <c r="H168" s="1" t="s">
        <v>18</v>
      </c>
      <c r="I168" s="1">
        <v>60</v>
      </c>
      <c r="J168" s="1">
        <v>125</v>
      </c>
      <c r="K168" s="11" t="s">
        <v>237</v>
      </c>
      <c r="L168" s="6" t="s">
        <v>19</v>
      </c>
      <c r="M168" s="6" t="s">
        <v>19</v>
      </c>
      <c r="N168" s="1">
        <v>7</v>
      </c>
      <c r="O168" s="1">
        <v>87</v>
      </c>
      <c r="P168" s="5">
        <f t="shared" si="3"/>
        <v>80</v>
      </c>
      <c r="Q168" s="1">
        <v>4795</v>
      </c>
      <c r="R168" s="1">
        <v>4715</v>
      </c>
      <c r="S168" s="10">
        <v>2568</v>
      </c>
      <c r="T168">
        <v>1</v>
      </c>
      <c r="U168" s="1" t="s">
        <v>24</v>
      </c>
    </row>
    <row r="169" spans="1:24" x14ac:dyDescent="0.2">
      <c r="A169" s="1" t="s">
        <v>206</v>
      </c>
      <c r="B169" s="1">
        <v>176</v>
      </c>
      <c r="C169" s="1">
        <v>490.00400000000002</v>
      </c>
      <c r="D169" s="2">
        <f t="shared" si="0"/>
        <v>0.32666933333333337</v>
      </c>
      <c r="E169" s="3">
        <v>45847</v>
      </c>
      <c r="F169" s="4">
        <v>45842</v>
      </c>
      <c r="G169" s="5">
        <f t="shared" si="1"/>
        <v>5</v>
      </c>
      <c r="H169" s="1" t="s">
        <v>18</v>
      </c>
      <c r="I169" s="1">
        <v>60</v>
      </c>
      <c r="J169" s="1">
        <v>60</v>
      </c>
      <c r="K169" s="15" t="s">
        <v>238</v>
      </c>
      <c r="L169" s="14" t="s">
        <v>240</v>
      </c>
      <c r="M169" s="6" t="s">
        <v>43</v>
      </c>
      <c r="N169" s="1">
        <v>6</v>
      </c>
      <c r="O169" s="1">
        <v>43</v>
      </c>
      <c r="P169" s="5">
        <f t="shared" si="3"/>
        <v>37</v>
      </c>
      <c r="Q169" s="1">
        <v>2217</v>
      </c>
      <c r="R169" s="1">
        <v>1347</v>
      </c>
      <c r="S169" s="10">
        <v>1102</v>
      </c>
      <c r="T169">
        <v>2</v>
      </c>
      <c r="U169" s="1" t="s">
        <v>24</v>
      </c>
    </row>
    <row r="170" spans="1:24" x14ac:dyDescent="0.2">
      <c r="A170" s="1" t="s">
        <v>207</v>
      </c>
      <c r="B170" s="1">
        <v>177</v>
      </c>
      <c r="C170" s="1">
        <v>491.14699999999999</v>
      </c>
      <c r="D170" s="2">
        <f t="shared" si="0"/>
        <v>0.32743133333333335</v>
      </c>
      <c r="E170" s="3">
        <v>45847</v>
      </c>
      <c r="F170" s="4">
        <v>45842</v>
      </c>
      <c r="G170" s="5">
        <f t="shared" si="1"/>
        <v>5</v>
      </c>
      <c r="H170" s="1" t="s">
        <v>18</v>
      </c>
      <c r="I170" s="1">
        <v>60</v>
      </c>
      <c r="J170" s="1">
        <v>90</v>
      </c>
      <c r="K170" s="11" t="s">
        <v>237</v>
      </c>
      <c r="L170" s="6" t="s">
        <v>237</v>
      </c>
      <c r="M170" s="6" t="s">
        <v>28</v>
      </c>
      <c r="N170" s="1">
        <v>7</v>
      </c>
      <c r="O170" s="1">
        <v>75</v>
      </c>
      <c r="P170" s="5">
        <f t="shared" si="3"/>
        <v>68</v>
      </c>
      <c r="Q170" s="1">
        <v>4075</v>
      </c>
      <c r="R170" s="1">
        <v>3180</v>
      </c>
      <c r="S170" s="10">
        <v>3079</v>
      </c>
      <c r="T170">
        <v>3</v>
      </c>
      <c r="U170" s="1" t="s">
        <v>24</v>
      </c>
    </row>
    <row r="171" spans="1:24" x14ac:dyDescent="0.2">
      <c r="A171" s="1" t="s">
        <v>208</v>
      </c>
      <c r="B171" s="1">
        <v>180</v>
      </c>
      <c r="C171" s="1">
        <v>489.173</v>
      </c>
      <c r="D171" s="2">
        <f t="shared" si="0"/>
        <v>0.32611533333333331</v>
      </c>
      <c r="E171" s="3">
        <v>45847</v>
      </c>
      <c r="F171" s="4">
        <v>45843</v>
      </c>
      <c r="G171" s="5">
        <f t="shared" si="1"/>
        <v>4</v>
      </c>
      <c r="H171" s="1" t="s">
        <v>18</v>
      </c>
      <c r="I171" s="1">
        <v>60</v>
      </c>
      <c r="J171" s="1">
        <v>99</v>
      </c>
      <c r="K171" s="11" t="s">
        <v>237</v>
      </c>
      <c r="L171" s="6" t="s">
        <v>19</v>
      </c>
      <c r="M171" s="6" t="s">
        <v>19</v>
      </c>
      <c r="N171" s="1">
        <v>5</v>
      </c>
      <c r="O171" s="1">
        <v>80</v>
      </c>
      <c r="P171" s="5">
        <f t="shared" si="3"/>
        <v>75</v>
      </c>
      <c r="Q171" s="1">
        <v>4495</v>
      </c>
      <c r="R171" s="1">
        <v>3577</v>
      </c>
      <c r="S171" s="10">
        <v>3489</v>
      </c>
      <c r="T171">
        <v>3</v>
      </c>
      <c r="U171" s="1" t="s">
        <v>24</v>
      </c>
      <c r="V171" s="1"/>
      <c r="W171" s="1"/>
      <c r="X171" s="1" t="s">
        <v>209</v>
      </c>
    </row>
    <row r="172" spans="1:24" x14ac:dyDescent="0.2">
      <c r="A172" s="1" t="s">
        <v>210</v>
      </c>
      <c r="B172" s="1">
        <v>181</v>
      </c>
      <c r="C172" s="1">
        <v>487.29700000000003</v>
      </c>
      <c r="D172" s="2">
        <f t="shared" si="0"/>
        <v>0.32486466666666669</v>
      </c>
      <c r="E172" s="3">
        <v>45847</v>
      </c>
      <c r="F172" s="4">
        <v>45843</v>
      </c>
      <c r="G172" s="5">
        <f t="shared" si="1"/>
        <v>4</v>
      </c>
      <c r="H172" s="1" t="s">
        <v>18</v>
      </c>
      <c r="I172" s="1">
        <v>60</v>
      </c>
      <c r="J172" s="1">
        <v>91</v>
      </c>
      <c r="K172" s="15" t="s">
        <v>238</v>
      </c>
      <c r="L172" s="14" t="s">
        <v>23</v>
      </c>
      <c r="M172" s="6" t="s">
        <v>23</v>
      </c>
      <c r="N172" s="1">
        <v>8</v>
      </c>
      <c r="O172" s="1">
        <v>80</v>
      </c>
      <c r="P172" s="5">
        <f t="shared" si="3"/>
        <v>72</v>
      </c>
      <c r="Q172" s="1">
        <v>4315</v>
      </c>
      <c r="R172" s="1">
        <v>3419</v>
      </c>
      <c r="S172" s="10">
        <v>3336</v>
      </c>
      <c r="T172">
        <v>1</v>
      </c>
      <c r="U172" s="1" t="s">
        <v>24</v>
      </c>
    </row>
    <row r="173" spans="1:24" x14ac:dyDescent="0.2">
      <c r="A173" s="1" t="s">
        <v>211</v>
      </c>
      <c r="B173" s="1">
        <v>182</v>
      </c>
      <c r="C173" s="1">
        <v>489.2</v>
      </c>
      <c r="D173" s="2">
        <f t="shared" si="0"/>
        <v>0.32613333333333333</v>
      </c>
      <c r="E173" s="3">
        <v>45847</v>
      </c>
      <c r="F173" s="4">
        <v>45843</v>
      </c>
      <c r="G173" s="5">
        <f t="shared" si="1"/>
        <v>4</v>
      </c>
      <c r="H173" s="1" t="s">
        <v>18</v>
      </c>
      <c r="I173" s="1">
        <v>60</v>
      </c>
      <c r="J173" s="1">
        <v>38</v>
      </c>
      <c r="K173" s="11" t="s">
        <v>237</v>
      </c>
      <c r="L173" s="6" t="s">
        <v>19</v>
      </c>
      <c r="M173" s="6" t="s">
        <v>19</v>
      </c>
      <c r="N173" s="1">
        <v>6</v>
      </c>
      <c r="O173" s="1">
        <v>25</v>
      </c>
      <c r="P173" s="5">
        <f t="shared" si="3"/>
        <v>19</v>
      </c>
      <c r="Q173" s="1">
        <v>1138</v>
      </c>
      <c r="R173" s="1">
        <v>212</v>
      </c>
      <c r="S173" s="10">
        <v>43</v>
      </c>
      <c r="T173" s="1">
        <v>2</v>
      </c>
      <c r="U173" s="1" t="s">
        <v>24</v>
      </c>
    </row>
    <row r="174" spans="1:24" x14ac:dyDescent="0.2">
      <c r="A174" s="1" t="s">
        <v>212</v>
      </c>
      <c r="B174" s="1">
        <v>183</v>
      </c>
      <c r="C174" s="1">
        <v>487.08300000000003</v>
      </c>
      <c r="D174" s="2">
        <f t="shared" si="0"/>
        <v>0.32472200000000001</v>
      </c>
      <c r="E174" s="3">
        <v>45847</v>
      </c>
      <c r="F174" s="4">
        <v>45843</v>
      </c>
      <c r="G174" s="5">
        <f t="shared" si="1"/>
        <v>4</v>
      </c>
      <c r="H174" s="1" t="s">
        <v>18</v>
      </c>
      <c r="I174" s="1">
        <v>60</v>
      </c>
      <c r="J174" s="1">
        <v>93</v>
      </c>
      <c r="K174" s="11" t="s">
        <v>237</v>
      </c>
      <c r="L174" s="6" t="s">
        <v>19</v>
      </c>
      <c r="M174" s="6" t="s">
        <v>19</v>
      </c>
      <c r="N174" s="1">
        <v>6</v>
      </c>
      <c r="O174" s="1">
        <v>85</v>
      </c>
      <c r="P174" s="5">
        <f t="shared" si="3"/>
        <v>79</v>
      </c>
      <c r="Q174" s="1">
        <v>4735</v>
      </c>
      <c r="R174" s="1">
        <v>3868</v>
      </c>
      <c r="S174" s="10">
        <v>3654</v>
      </c>
      <c r="T174">
        <v>2</v>
      </c>
      <c r="U174" s="1" t="s">
        <v>24</v>
      </c>
    </row>
    <row r="175" spans="1:24" x14ac:dyDescent="0.2">
      <c r="A175" s="1" t="s">
        <v>213</v>
      </c>
      <c r="B175" s="1">
        <v>184</v>
      </c>
      <c r="C175" s="1">
        <v>489.05</v>
      </c>
      <c r="D175" s="2">
        <f t="shared" si="0"/>
        <v>0.32603333333333334</v>
      </c>
      <c r="E175" s="3">
        <v>45847</v>
      </c>
      <c r="F175" s="4">
        <v>45843</v>
      </c>
      <c r="G175" s="5">
        <f t="shared" si="1"/>
        <v>4</v>
      </c>
      <c r="H175" s="1" t="s">
        <v>18</v>
      </c>
      <c r="I175" s="1">
        <v>60</v>
      </c>
      <c r="J175" s="1">
        <v>70</v>
      </c>
      <c r="K175" s="11" t="s">
        <v>237</v>
      </c>
      <c r="L175" s="6" t="s">
        <v>19</v>
      </c>
      <c r="M175" s="6" t="s">
        <v>19</v>
      </c>
      <c r="N175" s="1">
        <v>5</v>
      </c>
      <c r="O175" s="1">
        <v>50</v>
      </c>
      <c r="P175" s="5">
        <f t="shared" si="3"/>
        <v>45</v>
      </c>
      <c r="Q175" s="1">
        <v>2697</v>
      </c>
      <c r="R175" s="1">
        <v>1844</v>
      </c>
      <c r="S175" s="10">
        <v>1734</v>
      </c>
      <c r="T175">
        <v>3</v>
      </c>
      <c r="U175" s="1" t="s">
        <v>24</v>
      </c>
    </row>
    <row r="176" spans="1:24" x14ac:dyDescent="0.2">
      <c r="A176" s="1" t="s">
        <v>214</v>
      </c>
      <c r="B176" s="1">
        <v>185</v>
      </c>
      <c r="C176" s="1">
        <v>487.14800000000002</v>
      </c>
      <c r="D176" s="2">
        <f t="shared" si="0"/>
        <v>0.32476533333333335</v>
      </c>
      <c r="E176" s="3">
        <v>45847</v>
      </c>
      <c r="F176" s="4">
        <v>45843</v>
      </c>
      <c r="G176" s="5">
        <f t="shared" si="1"/>
        <v>4</v>
      </c>
      <c r="H176" s="1" t="s">
        <v>18</v>
      </c>
      <c r="I176" s="1">
        <v>60</v>
      </c>
      <c r="J176" s="1">
        <v>187</v>
      </c>
      <c r="K176" s="15" t="s">
        <v>238</v>
      </c>
      <c r="L176" s="14" t="s">
        <v>240</v>
      </c>
      <c r="M176" s="6" t="s">
        <v>23</v>
      </c>
      <c r="N176" s="1">
        <v>6</v>
      </c>
      <c r="O176" s="1">
        <v>140</v>
      </c>
      <c r="P176" s="5">
        <f t="shared" si="3"/>
        <v>134</v>
      </c>
      <c r="Q176" s="1">
        <v>8031</v>
      </c>
      <c r="R176" s="1">
        <v>6988</v>
      </c>
      <c r="S176" s="10">
        <v>6887</v>
      </c>
      <c r="T176">
        <v>1</v>
      </c>
      <c r="U176" s="1" t="s">
        <v>24</v>
      </c>
    </row>
    <row r="177" spans="1:24" x14ac:dyDescent="0.2">
      <c r="A177" s="1" t="s">
        <v>215</v>
      </c>
      <c r="B177" s="1">
        <v>186</v>
      </c>
      <c r="C177" s="1">
        <v>486.10300000000001</v>
      </c>
      <c r="D177" s="2">
        <f t="shared" si="0"/>
        <v>0.32406866666666667</v>
      </c>
      <c r="E177" s="3">
        <v>45847</v>
      </c>
      <c r="F177" s="4">
        <v>45843</v>
      </c>
      <c r="G177" s="5">
        <f t="shared" si="1"/>
        <v>4</v>
      </c>
      <c r="H177" s="1" t="s">
        <v>18</v>
      </c>
      <c r="I177" s="1">
        <v>60</v>
      </c>
      <c r="J177" s="1">
        <v>128</v>
      </c>
      <c r="K177" s="11" t="s">
        <v>237</v>
      </c>
      <c r="L177" s="6" t="s">
        <v>237</v>
      </c>
      <c r="M177" s="6" t="s">
        <v>28</v>
      </c>
      <c r="N177" s="1">
        <v>16</v>
      </c>
      <c r="O177" s="1">
        <v>61</v>
      </c>
      <c r="P177" s="5">
        <f t="shared" si="3"/>
        <v>45</v>
      </c>
      <c r="Q177" s="1">
        <v>2697</v>
      </c>
      <c r="R177" s="1">
        <v>1805</v>
      </c>
      <c r="S177" s="10">
        <v>1674</v>
      </c>
      <c r="T177">
        <v>2</v>
      </c>
      <c r="U177" s="1" t="s">
        <v>24</v>
      </c>
    </row>
    <row r="178" spans="1:24" x14ac:dyDescent="0.2">
      <c r="A178" s="1" t="s">
        <v>216</v>
      </c>
      <c r="B178" s="1">
        <v>187</v>
      </c>
      <c r="C178" s="1">
        <v>487.12400000000002</v>
      </c>
      <c r="D178" s="2">
        <f t="shared" si="0"/>
        <v>0.32474933333333333</v>
      </c>
      <c r="E178" s="3">
        <v>45847</v>
      </c>
      <c r="F178" s="4">
        <v>45843</v>
      </c>
      <c r="G178" s="5">
        <f t="shared" si="1"/>
        <v>4</v>
      </c>
      <c r="H178" s="1" t="s">
        <v>18</v>
      </c>
      <c r="I178" s="1">
        <v>60</v>
      </c>
      <c r="J178" s="1">
        <v>188</v>
      </c>
      <c r="K178" s="11" t="s">
        <v>237</v>
      </c>
      <c r="L178" s="6" t="s">
        <v>19</v>
      </c>
      <c r="M178" s="6" t="s">
        <v>19</v>
      </c>
      <c r="N178" s="1">
        <v>10</v>
      </c>
      <c r="O178" s="1">
        <v>158</v>
      </c>
      <c r="P178" s="5">
        <f t="shared" si="3"/>
        <v>148</v>
      </c>
      <c r="Q178" s="1">
        <v>8871</v>
      </c>
      <c r="R178" s="1">
        <v>7818</v>
      </c>
      <c r="S178" s="10">
        <v>7738</v>
      </c>
      <c r="T178">
        <v>2</v>
      </c>
      <c r="U178" s="1" t="s">
        <v>24</v>
      </c>
    </row>
    <row r="179" spans="1:24" x14ac:dyDescent="0.2">
      <c r="A179" s="1" t="s">
        <v>217</v>
      </c>
      <c r="B179" s="1">
        <v>188</v>
      </c>
      <c r="C179" s="1">
        <v>486.26299999999998</v>
      </c>
      <c r="D179" s="2">
        <f t="shared" si="0"/>
        <v>0.32417533333333332</v>
      </c>
      <c r="E179" s="3">
        <v>45847</v>
      </c>
      <c r="F179" s="4">
        <v>45843</v>
      </c>
      <c r="G179" s="5">
        <f t="shared" si="1"/>
        <v>4</v>
      </c>
      <c r="H179" s="1" t="s">
        <v>18</v>
      </c>
      <c r="I179" s="1">
        <v>60</v>
      </c>
      <c r="J179" s="1">
        <v>51</v>
      </c>
      <c r="K179" s="11" t="s">
        <v>237</v>
      </c>
      <c r="L179" s="6" t="s">
        <v>28</v>
      </c>
      <c r="M179" s="6" t="s">
        <v>34</v>
      </c>
      <c r="N179" s="1">
        <v>5</v>
      </c>
      <c r="O179" s="1">
        <v>29</v>
      </c>
      <c r="P179" s="5">
        <f t="shared" si="3"/>
        <v>24</v>
      </c>
      <c r="Q179" s="1">
        <v>1438</v>
      </c>
      <c r="R179" s="1">
        <v>516</v>
      </c>
      <c r="S179" s="10">
        <v>216</v>
      </c>
      <c r="T179">
        <v>2</v>
      </c>
      <c r="U179" s="1" t="s">
        <v>24</v>
      </c>
    </row>
    <row r="180" spans="1:24" x14ac:dyDescent="0.2">
      <c r="A180" s="1" t="s">
        <v>218</v>
      </c>
      <c r="B180" s="1">
        <v>189</v>
      </c>
      <c r="C180" s="1">
        <v>486.12400000000002</v>
      </c>
      <c r="D180" s="2">
        <f t="shared" si="0"/>
        <v>0.32408266666666669</v>
      </c>
      <c r="E180" s="3">
        <v>45847</v>
      </c>
      <c r="F180" s="4">
        <v>45843</v>
      </c>
      <c r="G180" s="5">
        <f t="shared" si="1"/>
        <v>4</v>
      </c>
      <c r="H180" s="1" t="s">
        <v>18</v>
      </c>
      <c r="I180" s="1">
        <v>60</v>
      </c>
      <c r="J180" s="1">
        <v>185</v>
      </c>
      <c r="K180" s="11" t="s">
        <v>237</v>
      </c>
      <c r="L180" s="6" t="s">
        <v>237</v>
      </c>
      <c r="M180" s="6" t="s">
        <v>28</v>
      </c>
      <c r="N180" s="1">
        <v>6</v>
      </c>
      <c r="O180" s="1">
        <v>154</v>
      </c>
      <c r="P180" s="5">
        <f t="shared" si="3"/>
        <v>148</v>
      </c>
      <c r="Q180" s="1">
        <v>8871</v>
      </c>
      <c r="R180" s="1">
        <v>7887</v>
      </c>
      <c r="S180" s="10">
        <v>6148</v>
      </c>
      <c r="T180">
        <v>2</v>
      </c>
      <c r="U180" s="1" t="s">
        <v>24</v>
      </c>
    </row>
    <row r="181" spans="1:24" x14ac:dyDescent="0.2">
      <c r="A181" s="1" t="s">
        <v>219</v>
      </c>
      <c r="B181" s="1">
        <v>191</v>
      </c>
      <c r="C181" s="1">
        <v>485.17399999999998</v>
      </c>
      <c r="D181" s="2">
        <f t="shared" si="0"/>
        <v>0.32344933333333331</v>
      </c>
      <c r="E181" s="3">
        <v>45847</v>
      </c>
      <c r="F181" s="4">
        <v>45843</v>
      </c>
      <c r="G181" s="5">
        <f t="shared" si="1"/>
        <v>4</v>
      </c>
      <c r="H181" s="1" t="s">
        <v>18</v>
      </c>
      <c r="I181" s="1">
        <v>60</v>
      </c>
      <c r="J181" s="1">
        <v>400</v>
      </c>
      <c r="K181" s="11" t="s">
        <v>237</v>
      </c>
      <c r="L181" s="6" t="s">
        <v>28</v>
      </c>
      <c r="M181" s="6" t="s">
        <v>28</v>
      </c>
      <c r="N181" s="1">
        <v>6</v>
      </c>
      <c r="O181" s="1">
        <v>390</v>
      </c>
      <c r="P181" s="5">
        <f t="shared" si="3"/>
        <v>384</v>
      </c>
      <c r="Q181" s="1">
        <v>23016</v>
      </c>
      <c r="R181" s="1">
        <v>22026</v>
      </c>
      <c r="S181" s="10">
        <v>21203</v>
      </c>
      <c r="T181">
        <v>1</v>
      </c>
      <c r="U181" s="1" t="s">
        <v>20</v>
      </c>
      <c r="X181" s="1" t="s">
        <v>220</v>
      </c>
    </row>
    <row r="182" spans="1:24" x14ac:dyDescent="0.2">
      <c r="A182" s="1" t="s">
        <v>221</v>
      </c>
      <c r="B182" s="1">
        <v>192</v>
      </c>
      <c r="C182" s="1">
        <v>486.17399999999998</v>
      </c>
      <c r="D182" s="2">
        <f t="shared" si="0"/>
        <v>0.32411599999999996</v>
      </c>
      <c r="E182" s="3">
        <v>45847</v>
      </c>
      <c r="F182" s="4">
        <v>45843</v>
      </c>
      <c r="G182" s="5">
        <f t="shared" si="1"/>
        <v>4</v>
      </c>
      <c r="H182" s="1" t="s">
        <v>18</v>
      </c>
      <c r="I182" s="1">
        <v>60</v>
      </c>
      <c r="J182" s="1">
        <v>275</v>
      </c>
      <c r="K182" s="15" t="s">
        <v>238</v>
      </c>
      <c r="L182" s="14" t="s">
        <v>23</v>
      </c>
      <c r="M182" s="6" t="s">
        <v>23</v>
      </c>
      <c r="N182" s="1">
        <v>8</v>
      </c>
      <c r="O182" s="1">
        <v>257</v>
      </c>
      <c r="P182" s="5">
        <f t="shared" si="3"/>
        <v>249</v>
      </c>
      <c r="Q182" s="1">
        <v>14925</v>
      </c>
      <c r="R182" s="1">
        <v>14043</v>
      </c>
      <c r="S182" s="10">
        <v>13925</v>
      </c>
      <c r="T182">
        <v>1</v>
      </c>
      <c r="U182" s="1" t="s">
        <v>20</v>
      </c>
      <c r="X182" s="1" t="s">
        <v>220</v>
      </c>
    </row>
    <row r="183" spans="1:24" x14ac:dyDescent="0.2">
      <c r="A183" s="1" t="s">
        <v>222</v>
      </c>
      <c r="B183" s="1">
        <v>193</v>
      </c>
      <c r="C183" s="1">
        <v>485.202</v>
      </c>
      <c r="D183" s="2">
        <f t="shared" si="0"/>
        <v>0.32346799999999998</v>
      </c>
      <c r="E183" s="3">
        <v>45847</v>
      </c>
      <c r="F183" s="4">
        <v>45843</v>
      </c>
      <c r="G183" s="5">
        <f t="shared" si="1"/>
        <v>4</v>
      </c>
      <c r="H183" s="1" t="s">
        <v>18</v>
      </c>
      <c r="I183" s="1">
        <v>60</v>
      </c>
      <c r="J183" s="1">
        <v>75</v>
      </c>
      <c r="K183" s="11" t="s">
        <v>237</v>
      </c>
      <c r="L183" s="6" t="s">
        <v>28</v>
      </c>
      <c r="M183" s="6" t="s">
        <v>28</v>
      </c>
      <c r="N183" s="1">
        <v>8</v>
      </c>
      <c r="O183" s="1">
        <v>64</v>
      </c>
      <c r="P183" s="5">
        <f t="shared" si="3"/>
        <v>56</v>
      </c>
      <c r="Q183" s="1">
        <v>3356</v>
      </c>
      <c r="R183" s="1">
        <v>2421</v>
      </c>
      <c r="S183" s="10">
        <v>2017</v>
      </c>
      <c r="T183">
        <v>2</v>
      </c>
      <c r="U183" s="1" t="s">
        <v>24</v>
      </c>
    </row>
    <row r="184" spans="1:24" x14ac:dyDescent="0.2">
      <c r="A184" s="1" t="s">
        <v>223</v>
      </c>
      <c r="B184" s="1">
        <v>194</v>
      </c>
      <c r="C184" s="1">
        <v>484.298</v>
      </c>
      <c r="D184" s="2">
        <f t="shared" si="0"/>
        <v>0.32286533333333334</v>
      </c>
      <c r="E184" s="3">
        <v>45847</v>
      </c>
      <c r="F184" s="4">
        <v>45843</v>
      </c>
      <c r="G184" s="5">
        <f t="shared" si="1"/>
        <v>4</v>
      </c>
      <c r="H184" s="1" t="s">
        <v>18</v>
      </c>
      <c r="I184" s="1">
        <v>60</v>
      </c>
      <c r="J184" s="1">
        <v>59</v>
      </c>
      <c r="K184" s="11" t="s">
        <v>237</v>
      </c>
      <c r="L184" s="6" t="s">
        <v>19</v>
      </c>
      <c r="M184" s="6" t="s">
        <v>19</v>
      </c>
      <c r="N184" s="1">
        <v>5</v>
      </c>
      <c r="O184" s="1">
        <v>40</v>
      </c>
      <c r="P184" s="5">
        <f t="shared" si="3"/>
        <v>35</v>
      </c>
      <c r="Q184" s="1">
        <v>2097</v>
      </c>
      <c r="R184" s="1">
        <v>1139</v>
      </c>
      <c r="S184" s="10">
        <v>973</v>
      </c>
      <c r="T184">
        <v>2</v>
      </c>
      <c r="U184" s="1" t="s">
        <v>24</v>
      </c>
      <c r="V184" s="1"/>
      <c r="W184" s="1"/>
      <c r="X184" s="1" t="s">
        <v>224</v>
      </c>
    </row>
    <row r="185" spans="1:24" x14ac:dyDescent="0.2">
      <c r="A185" s="1" t="s">
        <v>225</v>
      </c>
      <c r="B185" s="1">
        <v>195</v>
      </c>
      <c r="C185" s="1">
        <v>484.54599999999999</v>
      </c>
      <c r="D185" s="2">
        <f t="shared" si="0"/>
        <v>0.32303066666666669</v>
      </c>
      <c r="E185" s="3">
        <v>45847</v>
      </c>
      <c r="F185" s="4">
        <v>45843</v>
      </c>
      <c r="G185" s="5">
        <f t="shared" si="1"/>
        <v>4</v>
      </c>
      <c r="H185" s="1" t="s">
        <v>18</v>
      </c>
      <c r="I185" s="1">
        <v>60</v>
      </c>
      <c r="J185" s="1">
        <v>66</v>
      </c>
      <c r="K185" s="11" t="s">
        <v>237</v>
      </c>
      <c r="L185" s="6" t="s">
        <v>237</v>
      </c>
      <c r="M185" s="6" t="s">
        <v>28</v>
      </c>
      <c r="N185" s="1">
        <v>6</v>
      </c>
      <c r="O185" s="1">
        <v>41</v>
      </c>
      <c r="P185" s="5">
        <f t="shared" si="3"/>
        <v>35</v>
      </c>
      <c r="Q185" s="1">
        <v>2097</v>
      </c>
      <c r="R185" s="1">
        <v>1225</v>
      </c>
      <c r="S185" s="10">
        <v>657</v>
      </c>
      <c r="T185">
        <v>1</v>
      </c>
      <c r="U185" s="1" t="s">
        <v>24</v>
      </c>
    </row>
    <row r="186" spans="1:24" x14ac:dyDescent="0.2">
      <c r="A186" s="1" t="s">
        <v>226</v>
      </c>
      <c r="B186" s="1">
        <v>196</v>
      </c>
      <c r="C186" s="1">
        <v>484.202</v>
      </c>
      <c r="D186" s="2">
        <f t="shared" si="0"/>
        <v>0.32280133333333333</v>
      </c>
      <c r="E186" s="3">
        <v>45847</v>
      </c>
      <c r="F186" s="4">
        <v>45843</v>
      </c>
      <c r="G186" s="5">
        <f t="shared" si="1"/>
        <v>4</v>
      </c>
      <c r="H186" s="1" t="s">
        <v>18</v>
      </c>
      <c r="I186" s="1">
        <v>60</v>
      </c>
      <c r="J186" s="1">
        <v>92</v>
      </c>
      <c r="K186" s="15" t="s">
        <v>238</v>
      </c>
      <c r="L186" s="14" t="s">
        <v>23</v>
      </c>
      <c r="M186" s="6" t="s">
        <v>23</v>
      </c>
      <c r="N186" s="1">
        <v>10</v>
      </c>
      <c r="O186" s="1">
        <v>63</v>
      </c>
      <c r="P186" s="5">
        <f t="shared" si="3"/>
        <v>53</v>
      </c>
      <c r="Q186" s="1">
        <v>3176</v>
      </c>
      <c r="R186" s="1">
        <v>2261</v>
      </c>
      <c r="S186" s="10">
        <v>2170</v>
      </c>
      <c r="T186" s="1">
        <v>1</v>
      </c>
      <c r="U186" s="1" t="s">
        <v>24</v>
      </c>
    </row>
    <row r="187" spans="1:24" x14ac:dyDescent="0.2">
      <c r="A187" s="1" t="s">
        <v>227</v>
      </c>
      <c r="B187" s="1">
        <v>197</v>
      </c>
      <c r="C187" s="1">
        <v>484.45499999999998</v>
      </c>
      <c r="D187" s="2">
        <f t="shared" si="0"/>
        <v>0.32296999999999998</v>
      </c>
      <c r="E187" s="3">
        <v>45847</v>
      </c>
      <c r="F187" s="4">
        <v>45843</v>
      </c>
      <c r="G187" s="5">
        <f t="shared" si="1"/>
        <v>4</v>
      </c>
      <c r="H187" s="1" t="s">
        <v>18</v>
      </c>
      <c r="I187" s="1">
        <v>60</v>
      </c>
      <c r="J187" s="1">
        <v>90</v>
      </c>
      <c r="K187" s="11" t="s">
        <v>237</v>
      </c>
      <c r="L187" s="6" t="s">
        <v>237</v>
      </c>
      <c r="M187" s="6" t="s">
        <v>28</v>
      </c>
      <c r="N187" s="1">
        <v>6</v>
      </c>
      <c r="O187" s="1">
        <v>61</v>
      </c>
      <c r="P187" s="5">
        <f t="shared" si="3"/>
        <v>55</v>
      </c>
      <c r="Q187" s="1">
        <v>3296</v>
      </c>
      <c r="R187" s="1">
        <v>2393</v>
      </c>
      <c r="S187" s="10">
        <v>2041</v>
      </c>
      <c r="T187">
        <v>2</v>
      </c>
      <c r="U187" s="1" t="s">
        <v>24</v>
      </c>
    </row>
    <row r="188" spans="1:24" x14ac:dyDescent="0.2">
      <c r="A188" s="1" t="s">
        <v>228</v>
      </c>
      <c r="B188" s="1">
        <v>198</v>
      </c>
      <c r="C188" s="1">
        <v>484.17500000000001</v>
      </c>
      <c r="D188" s="2">
        <f t="shared" si="0"/>
        <v>0.32278333333333337</v>
      </c>
      <c r="E188" s="3">
        <v>45847</v>
      </c>
      <c r="F188" s="4">
        <v>45843</v>
      </c>
      <c r="G188" s="5">
        <f t="shared" si="1"/>
        <v>4</v>
      </c>
      <c r="H188" s="1" t="s">
        <v>18</v>
      </c>
      <c r="I188" s="1">
        <v>60</v>
      </c>
      <c r="J188" s="1">
        <v>122</v>
      </c>
      <c r="K188" s="11" t="s">
        <v>237</v>
      </c>
      <c r="L188" s="6" t="s">
        <v>28</v>
      </c>
      <c r="M188" s="6" t="s">
        <v>28</v>
      </c>
      <c r="N188" s="1">
        <v>7</v>
      </c>
      <c r="O188" s="1">
        <v>100</v>
      </c>
      <c r="P188" s="5">
        <f t="shared" si="3"/>
        <v>93</v>
      </c>
      <c r="Q188" s="1">
        <v>5574</v>
      </c>
      <c r="R188" s="1">
        <v>4737</v>
      </c>
      <c r="S188" s="10">
        <v>4577</v>
      </c>
      <c r="T188">
        <v>2</v>
      </c>
      <c r="U188" s="1" t="s">
        <v>24</v>
      </c>
    </row>
    <row r="189" spans="1:24" x14ac:dyDescent="0.2">
      <c r="A189" s="1" t="s">
        <v>229</v>
      </c>
      <c r="B189" s="1">
        <v>199</v>
      </c>
      <c r="C189" s="1">
        <v>482.3</v>
      </c>
      <c r="D189" s="2">
        <f t="shared" si="0"/>
        <v>0.32153333333333334</v>
      </c>
      <c r="E189" s="3">
        <v>45847</v>
      </c>
      <c r="F189" s="4">
        <v>45843</v>
      </c>
      <c r="G189" s="5">
        <f t="shared" si="1"/>
        <v>4</v>
      </c>
      <c r="H189" s="1" t="s">
        <v>18</v>
      </c>
      <c r="I189" s="1">
        <v>60</v>
      </c>
      <c r="J189" s="1">
        <v>384</v>
      </c>
      <c r="K189" s="15" t="s">
        <v>238</v>
      </c>
      <c r="L189" s="14" t="s">
        <v>23</v>
      </c>
      <c r="M189" s="6" t="s">
        <v>28</v>
      </c>
      <c r="N189" s="1">
        <v>10</v>
      </c>
      <c r="O189" s="1">
        <v>375</v>
      </c>
      <c r="P189" s="5">
        <f t="shared" si="3"/>
        <v>365</v>
      </c>
      <c r="Q189" s="1">
        <v>21878</v>
      </c>
      <c r="R189" s="1">
        <v>21077</v>
      </c>
      <c r="S189" s="10">
        <v>20880</v>
      </c>
      <c r="T189">
        <v>2</v>
      </c>
      <c r="U189" s="1" t="s">
        <v>24</v>
      </c>
    </row>
    <row r="190" spans="1:24" x14ac:dyDescent="0.2">
      <c r="A190" s="1" t="s">
        <v>230</v>
      </c>
      <c r="B190" s="1">
        <v>200</v>
      </c>
      <c r="C190" s="1">
        <v>484.00900000000001</v>
      </c>
      <c r="D190" s="2">
        <f t="shared" si="0"/>
        <v>0.32267266666666666</v>
      </c>
      <c r="E190" s="3">
        <v>45847</v>
      </c>
      <c r="F190" s="4">
        <v>45843</v>
      </c>
      <c r="G190" s="5">
        <f t="shared" si="1"/>
        <v>4</v>
      </c>
      <c r="H190" s="1" t="s">
        <v>18</v>
      </c>
      <c r="I190" s="1">
        <v>60</v>
      </c>
      <c r="J190" s="1">
        <v>50</v>
      </c>
      <c r="K190" s="15" t="s">
        <v>238</v>
      </c>
      <c r="L190" s="14" t="s">
        <v>240</v>
      </c>
      <c r="M190" s="6" t="s">
        <v>43</v>
      </c>
      <c r="N190" s="1">
        <v>5</v>
      </c>
      <c r="O190" s="1">
        <v>41</v>
      </c>
      <c r="P190" s="5">
        <f t="shared" si="3"/>
        <v>36</v>
      </c>
      <c r="Q190" s="1">
        <v>2157</v>
      </c>
      <c r="R190" s="1">
        <v>1259</v>
      </c>
      <c r="S190" s="10">
        <v>828</v>
      </c>
      <c r="T190">
        <v>3</v>
      </c>
      <c r="U190" s="1" t="s">
        <v>24</v>
      </c>
    </row>
    <row r="191" spans="1:24" x14ac:dyDescent="0.2">
      <c r="A191" s="1" t="s">
        <v>231</v>
      </c>
      <c r="B191" s="1">
        <v>201</v>
      </c>
      <c r="C191" s="1">
        <v>482.3</v>
      </c>
      <c r="D191" s="2">
        <f t="shared" si="0"/>
        <v>0.32153333333333334</v>
      </c>
      <c r="E191" s="3">
        <v>45847</v>
      </c>
      <c r="F191" s="4">
        <v>45843</v>
      </c>
      <c r="G191" s="5">
        <f t="shared" si="1"/>
        <v>4</v>
      </c>
      <c r="H191" s="1" t="s">
        <v>18</v>
      </c>
      <c r="I191" s="1">
        <v>60</v>
      </c>
      <c r="J191" s="1">
        <v>57</v>
      </c>
      <c r="K191" s="11" t="s">
        <v>237</v>
      </c>
      <c r="L191" s="6" t="s">
        <v>28</v>
      </c>
      <c r="M191" s="6" t="s">
        <v>28</v>
      </c>
      <c r="N191" s="1">
        <v>7</v>
      </c>
      <c r="O191" s="1">
        <v>51</v>
      </c>
      <c r="P191" s="5">
        <f t="shared" si="3"/>
        <v>44</v>
      </c>
      <c r="Q191" s="1">
        <v>2637</v>
      </c>
      <c r="R191" s="1">
        <v>1727</v>
      </c>
      <c r="S191" s="10">
        <v>1193</v>
      </c>
      <c r="T191">
        <v>1</v>
      </c>
      <c r="U191" s="1" t="s">
        <v>20</v>
      </c>
      <c r="X191" s="1" t="s">
        <v>132</v>
      </c>
    </row>
    <row r="192" spans="1:24" x14ac:dyDescent="0.2">
      <c r="A192" s="1" t="s">
        <v>232</v>
      </c>
      <c r="B192" s="1">
        <v>202</v>
      </c>
      <c r="C192" s="1">
        <v>484.19499999999999</v>
      </c>
      <c r="D192" s="2">
        <f t="shared" si="0"/>
        <v>0.32279666666666668</v>
      </c>
      <c r="E192" s="3">
        <v>45847</v>
      </c>
      <c r="F192" s="4">
        <v>45843</v>
      </c>
      <c r="G192" s="5">
        <f t="shared" si="1"/>
        <v>4</v>
      </c>
      <c r="H192" s="1" t="s">
        <v>18</v>
      </c>
      <c r="I192" s="1">
        <v>60</v>
      </c>
      <c r="J192" s="1">
        <v>163</v>
      </c>
      <c r="K192" s="15" t="s">
        <v>238</v>
      </c>
      <c r="L192" s="14" t="s">
        <v>23</v>
      </c>
      <c r="M192" s="10" t="s">
        <v>23</v>
      </c>
      <c r="N192" s="1">
        <v>7</v>
      </c>
      <c r="O192" s="1">
        <v>150</v>
      </c>
      <c r="P192" s="5">
        <f t="shared" si="3"/>
        <v>143</v>
      </c>
      <c r="Q192" s="1">
        <v>8571</v>
      </c>
      <c r="R192" s="1">
        <v>7721</v>
      </c>
      <c r="S192" s="10">
        <v>7567</v>
      </c>
      <c r="T192">
        <v>1</v>
      </c>
      <c r="U192" s="1" t="s">
        <v>24</v>
      </c>
    </row>
    <row r="193" spans="4:13" x14ac:dyDescent="0.2">
      <c r="D193" s="2"/>
      <c r="E193" s="3"/>
      <c r="F193" s="4"/>
      <c r="H193" s="6"/>
      <c r="I193" s="6"/>
      <c r="J193" s="6"/>
      <c r="K193" s="17"/>
      <c r="M193" s="17"/>
    </row>
    <row r="194" spans="4:13" x14ac:dyDescent="0.2">
      <c r="D194" s="2"/>
      <c r="E194" s="3"/>
      <c r="F194" s="4"/>
      <c r="H194" s="6"/>
      <c r="I194" s="6"/>
      <c r="J194" s="6"/>
      <c r="K194" s="17"/>
      <c r="M194" s="17"/>
    </row>
    <row r="195" spans="4:13" x14ac:dyDescent="0.2">
      <c r="D195" s="7"/>
      <c r="E195" s="8"/>
      <c r="F195" s="9"/>
      <c r="H195" s="6"/>
      <c r="I195" s="6"/>
      <c r="J195" s="6"/>
    </row>
    <row r="196" spans="4:13" x14ac:dyDescent="0.2">
      <c r="D196" s="7"/>
      <c r="E196" s="8"/>
      <c r="F196" s="9"/>
      <c r="H196" s="6"/>
      <c r="I196" s="6"/>
      <c r="J196" s="6"/>
    </row>
    <row r="197" spans="4:13" x14ac:dyDescent="0.2">
      <c r="D197" s="7"/>
      <c r="E197" s="8"/>
      <c r="F197" s="9"/>
      <c r="H197" s="6"/>
      <c r="I197" s="6"/>
      <c r="J197" s="6"/>
    </row>
    <row r="198" spans="4:13" x14ac:dyDescent="0.2">
      <c r="D198" s="7"/>
      <c r="E198" s="8"/>
      <c r="F198" s="9"/>
      <c r="H198" s="6"/>
      <c r="I198" s="6"/>
      <c r="J198" s="6"/>
    </row>
    <row r="199" spans="4:13" x14ac:dyDescent="0.2">
      <c r="D199" s="7"/>
      <c r="E199" s="8"/>
      <c r="F199" s="9"/>
      <c r="H199" s="6"/>
      <c r="I199" s="6"/>
      <c r="J199" s="6"/>
    </row>
    <row r="200" spans="4:13" x14ac:dyDescent="0.2">
      <c r="D200" s="7"/>
      <c r="E200" s="8"/>
      <c r="F200" s="9"/>
      <c r="H200" s="6"/>
      <c r="I200" s="6"/>
      <c r="J200" s="6"/>
    </row>
    <row r="201" spans="4:13" x14ac:dyDescent="0.2">
      <c r="D201" s="7"/>
      <c r="E201" s="8"/>
      <c r="F201" s="9"/>
      <c r="H201" s="6"/>
      <c r="I201" s="6"/>
      <c r="J201" s="6"/>
    </row>
    <row r="202" spans="4:13" x14ac:dyDescent="0.2">
      <c r="D202" s="7"/>
      <c r="E202" s="8"/>
      <c r="F202" s="9"/>
      <c r="H202" s="6"/>
      <c r="I202" s="6"/>
      <c r="J202" s="6"/>
    </row>
    <row r="203" spans="4:13" x14ac:dyDescent="0.2">
      <c r="D203" s="7"/>
      <c r="E203" s="8"/>
      <c r="F203" s="9"/>
      <c r="H203" s="6"/>
      <c r="I203" s="6"/>
      <c r="J203" s="6"/>
    </row>
    <row r="204" spans="4:13" x14ac:dyDescent="0.2">
      <c r="D204" s="7"/>
      <c r="E204" s="8"/>
      <c r="F204" s="9"/>
      <c r="H204" s="6"/>
      <c r="I204" s="6"/>
      <c r="J204" s="6"/>
    </row>
    <row r="205" spans="4:13" x14ac:dyDescent="0.2">
      <c r="D205" s="7"/>
      <c r="E205" s="8"/>
      <c r="F205" s="9"/>
      <c r="H205" s="6"/>
      <c r="I205" s="6"/>
      <c r="J205" s="6"/>
    </row>
    <row r="206" spans="4:13" x14ac:dyDescent="0.2">
      <c r="D206" s="7"/>
      <c r="E206" s="8"/>
      <c r="F206" s="9"/>
      <c r="H206" s="6"/>
      <c r="I206" s="6"/>
      <c r="J206" s="6"/>
    </row>
    <row r="207" spans="4:13" x14ac:dyDescent="0.2">
      <c r="D207" s="7"/>
      <c r="E207" s="8"/>
      <c r="F207" s="9"/>
      <c r="H207" s="6"/>
      <c r="I207" s="6"/>
      <c r="J207" s="6"/>
    </row>
    <row r="208" spans="4:13" x14ac:dyDescent="0.2">
      <c r="D208" s="7"/>
      <c r="E208" s="8"/>
      <c r="F208" s="9"/>
      <c r="H208" s="6"/>
      <c r="I208" s="6"/>
      <c r="J208" s="6"/>
    </row>
    <row r="209" spans="4:10" x14ac:dyDescent="0.2">
      <c r="D209" s="7"/>
      <c r="E209" s="8"/>
      <c r="F209" s="9"/>
      <c r="H209" s="6"/>
      <c r="I209" s="6"/>
      <c r="J209" s="6"/>
    </row>
    <row r="210" spans="4:10" x14ac:dyDescent="0.2">
      <c r="D210" s="7"/>
      <c r="E210" s="8"/>
      <c r="F210" s="9"/>
      <c r="H210" s="6"/>
      <c r="I210" s="6"/>
      <c r="J210" s="6"/>
    </row>
    <row r="211" spans="4:10" x14ac:dyDescent="0.2">
      <c r="D211" s="7"/>
      <c r="E211" s="8"/>
      <c r="F211" s="9"/>
      <c r="H211" s="6"/>
      <c r="I211" s="6"/>
      <c r="J211" s="6"/>
    </row>
    <row r="212" spans="4:10" x14ac:dyDescent="0.2">
      <c r="D212" s="7"/>
      <c r="E212" s="8"/>
      <c r="F212" s="9"/>
      <c r="H212" s="6"/>
      <c r="I212" s="6"/>
      <c r="J212" s="6"/>
    </row>
    <row r="213" spans="4:10" x14ac:dyDescent="0.2">
      <c r="D213" s="7"/>
      <c r="E213" s="8"/>
      <c r="F213" s="9"/>
      <c r="H213" s="6"/>
      <c r="I213" s="6"/>
      <c r="J213" s="6"/>
    </row>
    <row r="214" spans="4:10" x14ac:dyDescent="0.2">
      <c r="D214" s="7"/>
      <c r="E214" s="8"/>
      <c r="F214" s="9"/>
      <c r="H214" s="6"/>
      <c r="I214" s="6"/>
      <c r="J214" s="6"/>
    </row>
    <row r="215" spans="4:10" x14ac:dyDescent="0.2">
      <c r="D215" s="7"/>
      <c r="E215" s="8"/>
      <c r="F215" s="9"/>
      <c r="H215" s="6"/>
      <c r="I215" s="6"/>
      <c r="J215" s="6"/>
    </row>
    <row r="216" spans="4:10" x14ac:dyDescent="0.2">
      <c r="D216" s="7"/>
      <c r="E216" s="8"/>
      <c r="F216" s="9"/>
      <c r="H216" s="6"/>
      <c r="I216" s="6"/>
      <c r="J216" s="6"/>
    </row>
    <row r="217" spans="4:10" x14ac:dyDescent="0.2">
      <c r="D217" s="7"/>
      <c r="E217" s="8"/>
      <c r="F217" s="9"/>
      <c r="H217" s="6"/>
      <c r="I217" s="6"/>
      <c r="J217" s="6"/>
    </row>
    <row r="218" spans="4:10" x14ac:dyDescent="0.2">
      <c r="D218" s="7"/>
      <c r="E218" s="8"/>
      <c r="F218" s="9"/>
      <c r="H218" s="6"/>
      <c r="I218" s="6"/>
      <c r="J218" s="6"/>
    </row>
    <row r="219" spans="4:10" x14ac:dyDescent="0.2">
      <c r="D219" s="7"/>
      <c r="E219" s="8"/>
      <c r="F219" s="9"/>
      <c r="H219" s="6"/>
      <c r="I219" s="6"/>
      <c r="J219" s="6"/>
    </row>
    <row r="220" spans="4:10" x14ac:dyDescent="0.2">
      <c r="D220" s="7"/>
      <c r="E220" s="8"/>
      <c r="F220" s="9"/>
      <c r="H220" s="6"/>
      <c r="I220" s="6"/>
      <c r="J220" s="6"/>
    </row>
    <row r="221" spans="4:10" x14ac:dyDescent="0.2">
      <c r="D221" s="7"/>
      <c r="E221" s="8"/>
      <c r="F221" s="9"/>
      <c r="H221" s="6"/>
      <c r="I221" s="6"/>
      <c r="J221" s="6"/>
    </row>
    <row r="222" spans="4:10" x14ac:dyDescent="0.2">
      <c r="D222" s="7"/>
      <c r="E222" s="8"/>
      <c r="F222" s="9"/>
      <c r="H222" s="6"/>
      <c r="I222" s="6"/>
      <c r="J222" s="6"/>
    </row>
    <row r="223" spans="4:10" x14ac:dyDescent="0.2">
      <c r="D223" s="7"/>
      <c r="E223" s="8"/>
      <c r="F223" s="9"/>
      <c r="H223" s="6"/>
      <c r="I223" s="6"/>
      <c r="J223" s="6"/>
    </row>
    <row r="224" spans="4:10" x14ac:dyDescent="0.2">
      <c r="D224" s="7"/>
      <c r="E224" s="8"/>
      <c r="F224" s="9"/>
      <c r="H224" s="6"/>
      <c r="I224" s="6"/>
      <c r="J224" s="6"/>
    </row>
    <row r="225" spans="4:10" x14ac:dyDescent="0.2">
      <c r="D225" s="7"/>
      <c r="E225" s="8"/>
      <c r="F225" s="9"/>
      <c r="H225" s="6"/>
      <c r="I225" s="6"/>
      <c r="J225" s="6"/>
    </row>
    <row r="226" spans="4:10" x14ac:dyDescent="0.2">
      <c r="D226" s="7"/>
      <c r="E226" s="8"/>
      <c r="F226" s="9"/>
      <c r="H226" s="6"/>
      <c r="I226" s="6"/>
      <c r="J226" s="6"/>
    </row>
    <row r="227" spans="4:10" x14ac:dyDescent="0.2">
      <c r="D227" s="7"/>
      <c r="E227" s="8"/>
      <c r="F227" s="9"/>
      <c r="H227" s="6"/>
      <c r="I227" s="6"/>
      <c r="J227" s="6"/>
    </row>
    <row r="228" spans="4:10" x14ac:dyDescent="0.2">
      <c r="D228" s="7"/>
      <c r="E228" s="8"/>
      <c r="F228" s="9"/>
      <c r="H228" s="6"/>
      <c r="I228" s="6"/>
      <c r="J228" s="6"/>
    </row>
    <row r="229" spans="4:10" x14ac:dyDescent="0.2">
      <c r="D229" s="7"/>
      <c r="E229" s="8"/>
      <c r="F229" s="9"/>
      <c r="H229" s="6"/>
      <c r="I229" s="6"/>
      <c r="J229" s="6"/>
    </row>
    <row r="230" spans="4:10" x14ac:dyDescent="0.2">
      <c r="D230" s="7"/>
      <c r="E230" s="8"/>
      <c r="F230" s="9"/>
      <c r="H230" s="6"/>
      <c r="I230" s="6"/>
      <c r="J230" s="6"/>
    </row>
    <row r="231" spans="4:10" x14ac:dyDescent="0.2">
      <c r="D231" s="7"/>
      <c r="E231" s="8"/>
      <c r="F231" s="9"/>
      <c r="H231" s="6"/>
      <c r="I231" s="6"/>
      <c r="J231" s="6"/>
    </row>
    <row r="232" spans="4:10" x14ac:dyDescent="0.2">
      <c r="D232" s="7"/>
      <c r="E232" s="8"/>
      <c r="F232" s="9"/>
      <c r="H232" s="6"/>
      <c r="I232" s="6"/>
      <c r="J232" s="6"/>
    </row>
    <row r="233" spans="4:10" x14ac:dyDescent="0.2">
      <c r="D233" s="7"/>
      <c r="E233" s="8"/>
      <c r="F233" s="9"/>
      <c r="H233" s="6"/>
      <c r="I233" s="6"/>
      <c r="J233" s="6"/>
    </row>
    <row r="234" spans="4:10" x14ac:dyDescent="0.2">
      <c r="D234" s="7"/>
      <c r="E234" s="8"/>
      <c r="F234" s="9"/>
      <c r="H234" s="6"/>
      <c r="I234" s="6"/>
      <c r="J234" s="6"/>
    </row>
    <row r="235" spans="4:10" x14ac:dyDescent="0.2">
      <c r="D235" s="7"/>
      <c r="E235" s="8"/>
      <c r="F235" s="9"/>
      <c r="H235" s="6"/>
      <c r="I235" s="6"/>
      <c r="J235" s="6"/>
    </row>
    <row r="236" spans="4:10" x14ac:dyDescent="0.2">
      <c r="D236" s="7"/>
      <c r="E236" s="8"/>
      <c r="F236" s="9"/>
      <c r="H236" s="6"/>
      <c r="I236" s="6"/>
      <c r="J236" s="6"/>
    </row>
    <row r="237" spans="4:10" x14ac:dyDescent="0.2">
      <c r="D237" s="7"/>
      <c r="E237" s="8"/>
      <c r="F237" s="9"/>
      <c r="H237" s="6"/>
      <c r="I237" s="6"/>
      <c r="J237" s="6"/>
    </row>
    <row r="238" spans="4:10" x14ac:dyDescent="0.2">
      <c r="D238" s="7"/>
      <c r="E238" s="8"/>
      <c r="F238" s="9"/>
      <c r="H238" s="6"/>
      <c r="I238" s="6"/>
      <c r="J238" s="6"/>
    </row>
    <row r="239" spans="4:10" x14ac:dyDescent="0.2">
      <c r="D239" s="7"/>
      <c r="E239" s="8"/>
      <c r="F239" s="9"/>
      <c r="H239" s="6"/>
      <c r="I239" s="6"/>
      <c r="J239" s="6"/>
    </row>
    <row r="240" spans="4:10" x14ac:dyDescent="0.2">
      <c r="D240" s="7"/>
      <c r="E240" s="8"/>
      <c r="F240" s="9"/>
      <c r="H240" s="6"/>
      <c r="I240" s="6"/>
      <c r="J240" s="6"/>
    </row>
    <row r="241" spans="4:10" x14ac:dyDescent="0.2">
      <c r="D241" s="7"/>
      <c r="E241" s="8"/>
      <c r="F241" s="9"/>
      <c r="H241" s="6"/>
      <c r="I241" s="6"/>
      <c r="J241" s="6"/>
    </row>
    <row r="242" spans="4:10" x14ac:dyDescent="0.2">
      <c r="D242" s="7"/>
      <c r="E242" s="8"/>
      <c r="F242" s="9"/>
      <c r="H242" s="6"/>
      <c r="I242" s="6"/>
      <c r="J242" s="6"/>
    </row>
    <row r="243" spans="4:10" x14ac:dyDescent="0.2">
      <c r="D243" s="7"/>
      <c r="E243" s="8"/>
      <c r="F243" s="9"/>
      <c r="H243" s="6"/>
      <c r="I243" s="6"/>
      <c r="J243" s="6"/>
    </row>
    <row r="244" spans="4:10" x14ac:dyDescent="0.2">
      <c r="D244" s="7"/>
      <c r="E244" s="8"/>
      <c r="F244" s="9"/>
      <c r="H244" s="6"/>
      <c r="I244" s="6"/>
      <c r="J244" s="6"/>
    </row>
    <row r="245" spans="4:10" x14ac:dyDescent="0.2">
      <c r="D245" s="7"/>
      <c r="E245" s="8"/>
      <c r="F245" s="9"/>
      <c r="H245" s="6"/>
      <c r="I245" s="6"/>
      <c r="J245" s="6"/>
    </row>
    <row r="246" spans="4:10" x14ac:dyDescent="0.2">
      <c r="D246" s="7"/>
      <c r="E246" s="8"/>
      <c r="F246" s="9"/>
      <c r="H246" s="6"/>
      <c r="I246" s="6"/>
      <c r="J246" s="6"/>
    </row>
    <row r="247" spans="4:10" x14ac:dyDescent="0.2">
      <c r="D247" s="7"/>
      <c r="E247" s="8"/>
      <c r="F247" s="9"/>
      <c r="H247" s="6"/>
      <c r="I247" s="6"/>
      <c r="J247" s="6"/>
    </row>
    <row r="248" spans="4:10" x14ac:dyDescent="0.2">
      <c r="D248" s="7"/>
      <c r="E248" s="8"/>
      <c r="F248" s="9"/>
      <c r="H248" s="6"/>
      <c r="I248" s="6"/>
      <c r="J248" s="6"/>
    </row>
    <row r="249" spans="4:10" x14ac:dyDescent="0.2">
      <c r="D249" s="7"/>
      <c r="E249" s="8"/>
      <c r="F249" s="9"/>
      <c r="H249" s="6"/>
      <c r="I249" s="6"/>
      <c r="J249" s="6"/>
    </row>
    <row r="250" spans="4:10" x14ac:dyDescent="0.2">
      <c r="D250" s="7"/>
      <c r="E250" s="8"/>
      <c r="F250" s="9"/>
      <c r="H250" s="6"/>
      <c r="I250" s="6"/>
      <c r="J250" s="6"/>
    </row>
    <row r="251" spans="4:10" x14ac:dyDescent="0.2">
      <c r="D251" s="7"/>
      <c r="E251" s="8"/>
      <c r="F251" s="9"/>
      <c r="H251" s="6"/>
      <c r="I251" s="6"/>
      <c r="J251" s="6"/>
    </row>
    <row r="252" spans="4:10" x14ac:dyDescent="0.2">
      <c r="D252" s="7"/>
      <c r="E252" s="8"/>
      <c r="F252" s="9"/>
      <c r="H252" s="6"/>
      <c r="I252" s="6"/>
      <c r="J252" s="6"/>
    </row>
    <row r="253" spans="4:10" x14ac:dyDescent="0.2">
      <c r="D253" s="7"/>
      <c r="E253" s="8"/>
      <c r="F253" s="9"/>
      <c r="H253" s="6"/>
      <c r="I253" s="6"/>
      <c r="J253" s="6"/>
    </row>
    <row r="254" spans="4:10" x14ac:dyDescent="0.2">
      <c r="D254" s="7"/>
      <c r="E254" s="8"/>
      <c r="F254" s="9"/>
      <c r="H254" s="6"/>
      <c r="I254" s="6"/>
      <c r="J254" s="6"/>
    </row>
    <row r="255" spans="4:10" x14ac:dyDescent="0.2">
      <c r="D255" s="7"/>
      <c r="E255" s="8"/>
      <c r="F255" s="9"/>
      <c r="H255" s="6"/>
      <c r="I255" s="6"/>
      <c r="J255" s="6"/>
    </row>
    <row r="256" spans="4:10" x14ac:dyDescent="0.2">
      <c r="D256" s="7"/>
      <c r="E256" s="8"/>
      <c r="F256" s="9"/>
      <c r="H256" s="6"/>
      <c r="I256" s="6"/>
      <c r="J256" s="6"/>
    </row>
    <row r="257" spans="4:10" x14ac:dyDescent="0.2">
      <c r="D257" s="7"/>
      <c r="E257" s="8"/>
      <c r="F257" s="9"/>
      <c r="H257" s="6"/>
      <c r="I257" s="6"/>
      <c r="J257" s="6"/>
    </row>
    <row r="258" spans="4:10" x14ac:dyDescent="0.2">
      <c r="D258" s="7"/>
      <c r="E258" s="8"/>
      <c r="F258" s="9"/>
      <c r="H258" s="6"/>
      <c r="I258" s="6"/>
      <c r="J258" s="6"/>
    </row>
    <row r="259" spans="4:10" x14ac:dyDescent="0.2">
      <c r="D259" s="7"/>
      <c r="E259" s="8"/>
      <c r="F259" s="9"/>
      <c r="H259" s="6"/>
      <c r="I259" s="6"/>
      <c r="J259" s="6"/>
    </row>
    <row r="260" spans="4:10" x14ac:dyDescent="0.2">
      <c r="D260" s="7"/>
      <c r="E260" s="8"/>
      <c r="F260" s="9"/>
      <c r="H260" s="6"/>
      <c r="I260" s="6"/>
      <c r="J260" s="6"/>
    </row>
    <row r="261" spans="4:10" x14ac:dyDescent="0.2">
      <c r="D261" s="7"/>
      <c r="E261" s="8"/>
      <c r="F261" s="9"/>
      <c r="H261" s="6"/>
      <c r="I261" s="6"/>
      <c r="J261" s="6"/>
    </row>
    <row r="262" spans="4:10" x14ac:dyDescent="0.2">
      <c r="D262" s="7"/>
      <c r="E262" s="8"/>
      <c r="F262" s="9"/>
      <c r="H262" s="6"/>
      <c r="I262" s="6"/>
      <c r="J262" s="6"/>
    </row>
    <row r="263" spans="4:10" x14ac:dyDescent="0.2">
      <c r="D263" s="7"/>
      <c r="E263" s="8"/>
      <c r="F263" s="9"/>
      <c r="H263" s="6"/>
      <c r="I263" s="6"/>
      <c r="J263" s="6"/>
    </row>
    <row r="264" spans="4:10" x14ac:dyDescent="0.2">
      <c r="D264" s="7"/>
      <c r="E264" s="8"/>
      <c r="F264" s="9"/>
      <c r="H264" s="6"/>
      <c r="I264" s="6"/>
      <c r="J264" s="6"/>
    </row>
    <row r="265" spans="4:10" x14ac:dyDescent="0.2">
      <c r="D265" s="7"/>
      <c r="E265" s="8"/>
      <c r="F265" s="9"/>
      <c r="H265" s="6"/>
      <c r="I265" s="6"/>
      <c r="J265" s="6"/>
    </row>
    <row r="266" spans="4:10" x14ac:dyDescent="0.2">
      <c r="D266" s="7"/>
      <c r="E266" s="8"/>
      <c r="F266" s="9"/>
      <c r="H266" s="6"/>
      <c r="I266" s="6"/>
      <c r="J266" s="6"/>
    </row>
    <row r="267" spans="4:10" x14ac:dyDescent="0.2">
      <c r="D267" s="7"/>
      <c r="E267" s="8"/>
      <c r="F267" s="9"/>
      <c r="H267" s="6"/>
      <c r="I267" s="6"/>
      <c r="J267" s="6"/>
    </row>
    <row r="268" spans="4:10" x14ac:dyDescent="0.2">
      <c r="D268" s="7"/>
      <c r="E268" s="8"/>
      <c r="F268" s="9"/>
      <c r="H268" s="6"/>
      <c r="I268" s="6"/>
      <c r="J268" s="6"/>
    </row>
    <row r="269" spans="4:10" x14ac:dyDescent="0.2">
      <c r="D269" s="7"/>
      <c r="E269" s="8"/>
      <c r="F269" s="9"/>
      <c r="H269" s="6"/>
      <c r="I269" s="6"/>
      <c r="J269" s="6"/>
    </row>
    <row r="270" spans="4:10" x14ac:dyDescent="0.2">
      <c r="D270" s="7"/>
      <c r="E270" s="8"/>
      <c r="F270" s="9"/>
      <c r="H270" s="6"/>
      <c r="I270" s="6"/>
      <c r="J270" s="6"/>
    </row>
    <row r="271" spans="4:10" x14ac:dyDescent="0.2">
      <c r="D271" s="7"/>
      <c r="E271" s="8"/>
      <c r="F271" s="9"/>
      <c r="H271" s="6"/>
      <c r="I271" s="6"/>
      <c r="J271" s="6"/>
    </row>
    <row r="272" spans="4:10" x14ac:dyDescent="0.2">
      <c r="D272" s="7"/>
      <c r="E272" s="8"/>
      <c r="F272" s="9"/>
      <c r="H272" s="6"/>
      <c r="I272" s="6"/>
      <c r="J272" s="6"/>
    </row>
    <row r="273" spans="4:10" x14ac:dyDescent="0.2">
      <c r="D273" s="7"/>
      <c r="E273" s="8"/>
      <c r="F273" s="9"/>
      <c r="H273" s="6"/>
      <c r="I273" s="6"/>
      <c r="J273" s="6"/>
    </row>
    <row r="274" spans="4:10" x14ac:dyDescent="0.2">
      <c r="D274" s="7"/>
      <c r="E274" s="8"/>
      <c r="F274" s="9"/>
      <c r="H274" s="6"/>
      <c r="I274" s="6"/>
      <c r="J274" s="6"/>
    </row>
    <row r="275" spans="4:10" x14ac:dyDescent="0.2">
      <c r="D275" s="7"/>
      <c r="E275" s="8"/>
      <c r="F275" s="9"/>
      <c r="H275" s="6"/>
      <c r="I275" s="6"/>
      <c r="J275" s="6"/>
    </row>
    <row r="276" spans="4:10" x14ac:dyDescent="0.2">
      <c r="D276" s="7"/>
      <c r="E276" s="8"/>
      <c r="F276" s="9"/>
      <c r="H276" s="6"/>
      <c r="I276" s="6"/>
      <c r="J276" s="6"/>
    </row>
    <row r="277" spans="4:10" x14ac:dyDescent="0.2">
      <c r="D277" s="7"/>
      <c r="E277" s="8"/>
      <c r="F277" s="9"/>
      <c r="H277" s="6"/>
      <c r="I277" s="6"/>
      <c r="J277" s="6"/>
    </row>
    <row r="278" spans="4:10" x14ac:dyDescent="0.2">
      <c r="D278" s="7"/>
      <c r="E278" s="8"/>
      <c r="F278" s="9"/>
      <c r="H278" s="6"/>
      <c r="I278" s="6"/>
      <c r="J278" s="6"/>
    </row>
    <row r="279" spans="4:10" x14ac:dyDescent="0.2">
      <c r="D279" s="7"/>
      <c r="E279" s="8"/>
      <c r="F279" s="9"/>
      <c r="H279" s="6"/>
      <c r="I279" s="6"/>
      <c r="J279" s="6"/>
    </row>
    <row r="280" spans="4:10" x14ac:dyDescent="0.2">
      <c r="D280" s="7"/>
      <c r="E280" s="8"/>
      <c r="F280" s="9"/>
      <c r="H280" s="6"/>
      <c r="I280" s="6"/>
      <c r="J280" s="6"/>
    </row>
    <row r="281" spans="4:10" x14ac:dyDescent="0.2">
      <c r="D281" s="7"/>
      <c r="E281" s="8"/>
      <c r="F281" s="9"/>
      <c r="H281" s="6"/>
      <c r="I281" s="6"/>
      <c r="J281" s="6"/>
    </row>
    <row r="282" spans="4:10" x14ac:dyDescent="0.2">
      <c r="D282" s="7"/>
      <c r="E282" s="8"/>
      <c r="F282" s="9"/>
      <c r="H282" s="6"/>
      <c r="I282" s="6"/>
      <c r="J282" s="6"/>
    </row>
    <row r="283" spans="4:10" x14ac:dyDescent="0.2">
      <c r="D283" s="7"/>
      <c r="E283" s="8"/>
      <c r="F283" s="9"/>
      <c r="H283" s="6"/>
      <c r="I283" s="6"/>
      <c r="J283" s="6"/>
    </row>
    <row r="284" spans="4:10" x14ac:dyDescent="0.2">
      <c r="D284" s="7"/>
      <c r="E284" s="8"/>
      <c r="F284" s="9"/>
      <c r="H284" s="6"/>
      <c r="I284" s="6"/>
      <c r="J284" s="6"/>
    </row>
    <row r="285" spans="4:10" x14ac:dyDescent="0.2">
      <c r="D285" s="7"/>
      <c r="E285" s="8"/>
      <c r="F285" s="9"/>
      <c r="H285" s="6"/>
      <c r="I285" s="6"/>
      <c r="J285" s="6"/>
    </row>
    <row r="286" spans="4:10" x14ac:dyDescent="0.2">
      <c r="D286" s="7"/>
      <c r="E286" s="8"/>
      <c r="F286" s="9"/>
      <c r="H286" s="6"/>
      <c r="I286" s="6"/>
      <c r="J286" s="6"/>
    </row>
    <row r="287" spans="4:10" x14ac:dyDescent="0.2">
      <c r="D287" s="7"/>
      <c r="E287" s="8"/>
      <c r="F287" s="9"/>
      <c r="H287" s="6"/>
      <c r="I287" s="6"/>
      <c r="J287" s="6"/>
    </row>
    <row r="288" spans="4:10" x14ac:dyDescent="0.2">
      <c r="D288" s="7"/>
      <c r="E288" s="8"/>
      <c r="F288" s="9"/>
      <c r="H288" s="6"/>
      <c r="I288" s="6"/>
      <c r="J288" s="6"/>
    </row>
    <row r="289" spans="4:10" x14ac:dyDescent="0.2">
      <c r="D289" s="7"/>
      <c r="E289" s="8"/>
      <c r="F289" s="9"/>
      <c r="H289" s="6"/>
      <c r="I289" s="6"/>
      <c r="J289" s="6"/>
    </row>
    <row r="290" spans="4:10" x14ac:dyDescent="0.2">
      <c r="D290" s="7"/>
      <c r="E290" s="8"/>
      <c r="F290" s="9"/>
      <c r="H290" s="6"/>
      <c r="I290" s="6"/>
      <c r="J290" s="6"/>
    </row>
    <row r="291" spans="4:10" x14ac:dyDescent="0.2">
      <c r="D291" s="7"/>
      <c r="E291" s="8"/>
      <c r="F291" s="9"/>
      <c r="H291" s="6"/>
      <c r="I291" s="6"/>
      <c r="J291" s="6"/>
    </row>
    <row r="292" spans="4:10" x14ac:dyDescent="0.2">
      <c r="D292" s="7"/>
      <c r="E292" s="8"/>
      <c r="F292" s="9"/>
      <c r="H292" s="6"/>
      <c r="I292" s="6"/>
      <c r="J292" s="6"/>
    </row>
    <row r="293" spans="4:10" x14ac:dyDescent="0.2">
      <c r="D293" s="7"/>
      <c r="E293" s="8"/>
      <c r="F293" s="9"/>
      <c r="H293" s="6"/>
      <c r="I293" s="6"/>
      <c r="J293" s="6"/>
    </row>
    <row r="294" spans="4:10" x14ac:dyDescent="0.2">
      <c r="D294" s="7"/>
      <c r="E294" s="8"/>
      <c r="F294" s="9"/>
      <c r="H294" s="6"/>
      <c r="I294" s="6"/>
      <c r="J294" s="6"/>
    </row>
    <row r="295" spans="4:10" x14ac:dyDescent="0.2">
      <c r="D295" s="7"/>
      <c r="E295" s="8"/>
      <c r="F295" s="9"/>
      <c r="H295" s="6"/>
      <c r="I295" s="6"/>
      <c r="J295" s="6"/>
    </row>
    <row r="296" spans="4:10" x14ac:dyDescent="0.2">
      <c r="D296" s="7"/>
      <c r="E296" s="8"/>
      <c r="F296" s="9"/>
      <c r="H296" s="6"/>
      <c r="I296" s="6"/>
      <c r="J296" s="6"/>
    </row>
    <row r="297" spans="4:10" x14ac:dyDescent="0.2">
      <c r="D297" s="7"/>
      <c r="E297" s="8"/>
      <c r="F297" s="9"/>
      <c r="H297" s="6"/>
      <c r="I297" s="6"/>
      <c r="J297" s="6"/>
    </row>
    <row r="298" spans="4:10" x14ac:dyDescent="0.2">
      <c r="D298" s="7"/>
      <c r="E298" s="8"/>
      <c r="F298" s="9"/>
      <c r="H298" s="6"/>
      <c r="I298" s="6"/>
      <c r="J298" s="6"/>
    </row>
    <row r="299" spans="4:10" x14ac:dyDescent="0.2">
      <c r="D299" s="7"/>
      <c r="E299" s="8"/>
      <c r="F299" s="9"/>
      <c r="H299" s="6"/>
      <c r="I299" s="6"/>
      <c r="J299" s="6"/>
    </row>
    <row r="300" spans="4:10" x14ac:dyDescent="0.2">
      <c r="D300" s="7"/>
      <c r="E300" s="8"/>
      <c r="F300" s="9"/>
      <c r="H300" s="6"/>
      <c r="I300" s="6"/>
      <c r="J300" s="6"/>
    </row>
    <row r="301" spans="4:10" x14ac:dyDescent="0.2">
      <c r="D301" s="7"/>
      <c r="E301" s="8"/>
      <c r="F301" s="9"/>
      <c r="H301" s="6"/>
      <c r="I301" s="6"/>
      <c r="J301" s="6"/>
    </row>
    <row r="302" spans="4:10" x14ac:dyDescent="0.2">
      <c r="D302" s="7"/>
      <c r="E302" s="8"/>
      <c r="F302" s="9"/>
      <c r="H302" s="6"/>
      <c r="I302" s="6"/>
      <c r="J302" s="6"/>
    </row>
    <row r="303" spans="4:10" x14ac:dyDescent="0.2">
      <c r="D303" s="7"/>
      <c r="E303" s="8"/>
      <c r="F303" s="9"/>
      <c r="H303" s="6"/>
      <c r="I303" s="6"/>
      <c r="J303" s="6"/>
    </row>
    <row r="304" spans="4:10" x14ac:dyDescent="0.2">
      <c r="D304" s="7"/>
      <c r="E304" s="8"/>
      <c r="F304" s="9"/>
      <c r="H304" s="6"/>
      <c r="I304" s="6"/>
      <c r="J304" s="6"/>
    </row>
    <row r="305" spans="4:10" x14ac:dyDescent="0.2">
      <c r="D305" s="7"/>
      <c r="E305" s="8"/>
      <c r="F305" s="9"/>
      <c r="H305" s="6"/>
      <c r="I305" s="6"/>
      <c r="J305" s="6"/>
    </row>
    <row r="306" spans="4:10" x14ac:dyDescent="0.2">
      <c r="D306" s="7"/>
      <c r="E306" s="8"/>
      <c r="F306" s="9"/>
      <c r="H306" s="6"/>
      <c r="I306" s="6"/>
      <c r="J306" s="6"/>
    </row>
    <row r="307" spans="4:10" x14ac:dyDescent="0.2">
      <c r="D307" s="7"/>
      <c r="E307" s="8"/>
      <c r="F307" s="9"/>
      <c r="H307" s="6"/>
      <c r="I307" s="6"/>
      <c r="J307" s="6"/>
    </row>
    <row r="308" spans="4:10" x14ac:dyDescent="0.2">
      <c r="D308" s="7"/>
      <c r="E308" s="8"/>
      <c r="F308" s="9"/>
      <c r="H308" s="6"/>
      <c r="I308" s="6"/>
      <c r="J308" s="6"/>
    </row>
    <row r="309" spans="4:10" x14ac:dyDescent="0.2">
      <c r="D309" s="7"/>
      <c r="E309" s="8"/>
      <c r="F309" s="9"/>
      <c r="H309" s="6"/>
      <c r="I309" s="6"/>
      <c r="J309" s="6"/>
    </row>
    <row r="310" spans="4:10" x14ac:dyDescent="0.2">
      <c r="D310" s="7"/>
      <c r="E310" s="8"/>
      <c r="F310" s="9"/>
      <c r="H310" s="6"/>
      <c r="I310" s="6"/>
      <c r="J310" s="6"/>
    </row>
    <row r="311" spans="4:10" x14ac:dyDescent="0.2">
      <c r="D311" s="7"/>
      <c r="E311" s="8"/>
      <c r="F311" s="9"/>
      <c r="H311" s="6"/>
      <c r="I311" s="6"/>
      <c r="J311" s="6"/>
    </row>
    <row r="312" spans="4:10" x14ac:dyDescent="0.2">
      <c r="D312" s="7"/>
      <c r="E312" s="8"/>
      <c r="F312" s="9"/>
      <c r="H312" s="6"/>
      <c r="I312" s="6"/>
      <c r="J312" s="6"/>
    </row>
    <row r="313" spans="4:10" x14ac:dyDescent="0.2">
      <c r="D313" s="7"/>
      <c r="E313" s="8"/>
      <c r="F313" s="9"/>
      <c r="H313" s="6"/>
      <c r="I313" s="6"/>
      <c r="J313" s="6"/>
    </row>
    <row r="314" spans="4:10" x14ac:dyDescent="0.2">
      <c r="D314" s="7"/>
      <c r="E314" s="8"/>
      <c r="F314" s="9"/>
      <c r="H314" s="6"/>
      <c r="I314" s="6"/>
      <c r="J314" s="6"/>
    </row>
    <row r="315" spans="4:10" x14ac:dyDescent="0.2">
      <c r="D315" s="7"/>
      <c r="E315" s="8"/>
      <c r="F315" s="9"/>
      <c r="H315" s="6"/>
      <c r="I315" s="6"/>
      <c r="J315" s="6"/>
    </row>
    <row r="316" spans="4:10" x14ac:dyDescent="0.2">
      <c r="D316" s="7"/>
      <c r="E316" s="8"/>
      <c r="F316" s="9"/>
      <c r="H316" s="6"/>
      <c r="I316" s="6"/>
      <c r="J316" s="6"/>
    </row>
    <row r="317" spans="4:10" x14ac:dyDescent="0.2">
      <c r="D317" s="7"/>
      <c r="E317" s="8"/>
      <c r="F317" s="9"/>
      <c r="H317" s="6"/>
      <c r="I317" s="6"/>
      <c r="J317" s="6"/>
    </row>
    <row r="318" spans="4:10" x14ac:dyDescent="0.2">
      <c r="D318" s="7"/>
      <c r="E318" s="8"/>
      <c r="F318" s="9"/>
      <c r="H318" s="6"/>
      <c r="I318" s="6"/>
      <c r="J318" s="6"/>
    </row>
    <row r="319" spans="4:10" x14ac:dyDescent="0.2">
      <c r="D319" s="7"/>
      <c r="E319" s="8"/>
      <c r="F319" s="9"/>
      <c r="H319" s="6"/>
      <c r="I319" s="6"/>
      <c r="J319" s="6"/>
    </row>
    <row r="320" spans="4:10" x14ac:dyDescent="0.2">
      <c r="D320" s="7"/>
      <c r="E320" s="8"/>
      <c r="F320" s="9"/>
      <c r="H320" s="6"/>
      <c r="I320" s="6"/>
      <c r="J320" s="6"/>
    </row>
    <row r="321" spans="4:10" x14ac:dyDescent="0.2">
      <c r="D321" s="7"/>
      <c r="E321" s="8"/>
      <c r="F321" s="9"/>
      <c r="H321" s="6"/>
      <c r="I321" s="6"/>
      <c r="J321" s="6"/>
    </row>
    <row r="322" spans="4:10" x14ac:dyDescent="0.2">
      <c r="D322" s="7"/>
      <c r="E322" s="8"/>
      <c r="F322" s="9"/>
      <c r="H322" s="6"/>
      <c r="I322" s="6"/>
      <c r="J322" s="6"/>
    </row>
    <row r="323" spans="4:10" x14ac:dyDescent="0.2">
      <c r="D323" s="7"/>
      <c r="E323" s="8"/>
      <c r="F323" s="9"/>
      <c r="H323" s="6"/>
      <c r="I323" s="6"/>
      <c r="J323" s="6"/>
    </row>
    <row r="324" spans="4:10" x14ac:dyDescent="0.2">
      <c r="D324" s="7"/>
      <c r="E324" s="8"/>
      <c r="F324" s="9"/>
      <c r="H324" s="6"/>
      <c r="I324" s="6"/>
      <c r="J324" s="6"/>
    </row>
    <row r="325" spans="4:10" x14ac:dyDescent="0.2">
      <c r="D325" s="7"/>
      <c r="E325" s="8"/>
      <c r="F325" s="9"/>
      <c r="H325" s="6"/>
      <c r="I325" s="6"/>
      <c r="J325" s="6"/>
    </row>
    <row r="326" spans="4:10" x14ac:dyDescent="0.2">
      <c r="D326" s="7"/>
      <c r="E326" s="8"/>
      <c r="F326" s="9"/>
      <c r="H326" s="6"/>
      <c r="I326" s="6"/>
      <c r="J326" s="6"/>
    </row>
    <row r="327" spans="4:10" x14ac:dyDescent="0.2">
      <c r="D327" s="7"/>
      <c r="E327" s="8"/>
      <c r="F327" s="9"/>
      <c r="H327" s="6"/>
      <c r="I327" s="6"/>
      <c r="J327" s="6"/>
    </row>
    <row r="328" spans="4:10" x14ac:dyDescent="0.2">
      <c r="D328" s="7"/>
      <c r="E328" s="8"/>
      <c r="F328" s="9"/>
      <c r="H328" s="6"/>
      <c r="I328" s="6"/>
      <c r="J328" s="6"/>
    </row>
    <row r="329" spans="4:10" x14ac:dyDescent="0.2">
      <c r="D329" s="7"/>
      <c r="E329" s="8"/>
      <c r="F329" s="9"/>
      <c r="H329" s="6"/>
      <c r="I329" s="6"/>
      <c r="J329" s="6"/>
    </row>
    <row r="330" spans="4:10" x14ac:dyDescent="0.2">
      <c r="D330" s="7"/>
      <c r="E330" s="8"/>
      <c r="F330" s="9"/>
      <c r="H330" s="6"/>
      <c r="I330" s="6"/>
      <c r="J330" s="6"/>
    </row>
    <row r="331" spans="4:10" x14ac:dyDescent="0.2">
      <c r="D331" s="7"/>
      <c r="E331" s="8"/>
      <c r="F331" s="9"/>
      <c r="H331" s="6"/>
      <c r="I331" s="6"/>
      <c r="J331" s="6"/>
    </row>
    <row r="332" spans="4:10" x14ac:dyDescent="0.2">
      <c r="D332" s="7"/>
      <c r="E332" s="8"/>
      <c r="F332" s="9"/>
      <c r="H332" s="6"/>
      <c r="I332" s="6"/>
      <c r="J332" s="6"/>
    </row>
    <row r="333" spans="4:10" x14ac:dyDescent="0.2">
      <c r="D333" s="7"/>
      <c r="E333" s="8"/>
      <c r="F333" s="9"/>
      <c r="H333" s="6"/>
      <c r="I333" s="6"/>
      <c r="J333" s="6"/>
    </row>
    <row r="334" spans="4:10" x14ac:dyDescent="0.2">
      <c r="D334" s="7"/>
      <c r="E334" s="8"/>
      <c r="F334" s="9"/>
      <c r="H334" s="6"/>
      <c r="I334" s="6"/>
      <c r="J334" s="6"/>
    </row>
    <row r="335" spans="4:10" x14ac:dyDescent="0.2">
      <c r="D335" s="7"/>
      <c r="E335" s="8"/>
      <c r="F335" s="9"/>
      <c r="H335" s="6"/>
      <c r="I335" s="6"/>
      <c r="J335" s="6"/>
    </row>
    <row r="336" spans="4:10" x14ac:dyDescent="0.2">
      <c r="D336" s="7"/>
      <c r="E336" s="8"/>
      <c r="F336" s="9"/>
      <c r="H336" s="6"/>
      <c r="I336" s="6"/>
      <c r="J336" s="6"/>
    </row>
    <row r="337" spans="4:10" x14ac:dyDescent="0.2">
      <c r="D337" s="7"/>
      <c r="E337" s="8"/>
      <c r="F337" s="9"/>
      <c r="H337" s="6"/>
      <c r="I337" s="6"/>
      <c r="J337" s="6"/>
    </row>
    <row r="338" spans="4:10" x14ac:dyDescent="0.2">
      <c r="D338" s="7"/>
      <c r="E338" s="8"/>
      <c r="F338" s="9"/>
      <c r="H338" s="6"/>
      <c r="I338" s="6"/>
      <c r="J338" s="6"/>
    </row>
    <row r="339" spans="4:10" x14ac:dyDescent="0.2">
      <c r="D339" s="7"/>
      <c r="E339" s="8"/>
      <c r="F339" s="9"/>
      <c r="H339" s="6"/>
      <c r="I339" s="6"/>
      <c r="J339" s="6"/>
    </row>
    <row r="340" spans="4:10" x14ac:dyDescent="0.2">
      <c r="D340" s="7"/>
      <c r="E340" s="8"/>
      <c r="F340" s="9"/>
      <c r="H340" s="6"/>
      <c r="I340" s="6"/>
      <c r="J340" s="6"/>
    </row>
    <row r="341" spans="4:10" x14ac:dyDescent="0.2">
      <c r="D341" s="7"/>
      <c r="E341" s="8"/>
      <c r="F341" s="9"/>
      <c r="H341" s="6"/>
      <c r="I341" s="6"/>
      <c r="J341" s="6"/>
    </row>
    <row r="342" spans="4:10" x14ac:dyDescent="0.2">
      <c r="D342" s="7"/>
      <c r="E342" s="8"/>
      <c r="F342" s="9"/>
      <c r="H342" s="6"/>
      <c r="I342" s="6"/>
      <c r="J342" s="6"/>
    </row>
    <row r="343" spans="4:10" x14ac:dyDescent="0.2">
      <c r="D343" s="7"/>
      <c r="E343" s="8"/>
      <c r="F343" s="9"/>
      <c r="H343" s="6"/>
      <c r="I343" s="6"/>
      <c r="J343" s="6"/>
    </row>
    <row r="344" spans="4:10" x14ac:dyDescent="0.2">
      <c r="D344" s="7"/>
      <c r="E344" s="8"/>
      <c r="F344" s="9"/>
      <c r="H344" s="6"/>
      <c r="I344" s="6"/>
      <c r="J344" s="6"/>
    </row>
    <row r="345" spans="4:10" x14ac:dyDescent="0.2">
      <c r="D345" s="7"/>
      <c r="E345" s="8"/>
      <c r="F345" s="9"/>
      <c r="H345" s="6"/>
      <c r="I345" s="6"/>
      <c r="J345" s="6"/>
    </row>
    <row r="346" spans="4:10" x14ac:dyDescent="0.2">
      <c r="D346" s="7"/>
      <c r="E346" s="8"/>
      <c r="F346" s="9"/>
      <c r="H346" s="6"/>
      <c r="I346" s="6"/>
      <c r="J346" s="6"/>
    </row>
    <row r="347" spans="4:10" x14ac:dyDescent="0.2">
      <c r="D347" s="7"/>
      <c r="E347" s="8"/>
      <c r="F347" s="9"/>
      <c r="H347" s="6"/>
      <c r="I347" s="6"/>
      <c r="J347" s="6"/>
    </row>
    <row r="348" spans="4:10" x14ac:dyDescent="0.2">
      <c r="D348" s="7"/>
      <c r="E348" s="8"/>
      <c r="F348" s="9"/>
      <c r="H348" s="6"/>
      <c r="I348" s="6"/>
      <c r="J348" s="6"/>
    </row>
    <row r="349" spans="4:10" x14ac:dyDescent="0.2">
      <c r="D349" s="7"/>
      <c r="E349" s="8"/>
      <c r="F349" s="9"/>
      <c r="H349" s="6"/>
      <c r="I349" s="6"/>
      <c r="J349" s="6"/>
    </row>
    <row r="350" spans="4:10" x14ac:dyDescent="0.2">
      <c r="D350" s="7"/>
      <c r="E350" s="8"/>
      <c r="F350" s="9"/>
      <c r="H350" s="6"/>
      <c r="I350" s="6"/>
      <c r="J350" s="6"/>
    </row>
    <row r="351" spans="4:10" x14ac:dyDescent="0.2">
      <c r="D351" s="7"/>
      <c r="E351" s="8"/>
      <c r="F351" s="9"/>
      <c r="H351" s="6"/>
      <c r="I351" s="6"/>
      <c r="J351" s="6"/>
    </row>
    <row r="352" spans="4:10" x14ac:dyDescent="0.2">
      <c r="D352" s="7"/>
      <c r="E352" s="8"/>
      <c r="F352" s="9"/>
      <c r="H352" s="6"/>
      <c r="I352" s="6"/>
      <c r="J352" s="6"/>
    </row>
    <row r="353" spans="4:10" x14ac:dyDescent="0.2">
      <c r="D353" s="7"/>
      <c r="E353" s="8"/>
      <c r="F353" s="9"/>
      <c r="H353" s="6"/>
      <c r="I353" s="6"/>
      <c r="J353" s="6"/>
    </row>
    <row r="354" spans="4:10" x14ac:dyDescent="0.2">
      <c r="D354" s="7"/>
      <c r="E354" s="8"/>
      <c r="F354" s="9"/>
      <c r="H354" s="6"/>
      <c r="I354" s="6"/>
      <c r="J354" s="6"/>
    </row>
    <row r="355" spans="4:10" x14ac:dyDescent="0.2">
      <c r="D355" s="7"/>
      <c r="E355" s="8"/>
      <c r="F355" s="9"/>
      <c r="H355" s="6"/>
      <c r="I355" s="6"/>
      <c r="J355" s="6"/>
    </row>
    <row r="356" spans="4:10" x14ac:dyDescent="0.2">
      <c r="D356" s="7"/>
      <c r="E356" s="8"/>
      <c r="F356" s="9"/>
      <c r="H356" s="6"/>
      <c r="I356" s="6"/>
      <c r="J356" s="6"/>
    </row>
    <row r="357" spans="4:10" x14ac:dyDescent="0.2">
      <c r="D357" s="7"/>
      <c r="E357" s="8"/>
      <c r="F357" s="9"/>
      <c r="H357" s="6"/>
      <c r="I357" s="6"/>
      <c r="J357" s="6"/>
    </row>
    <row r="358" spans="4:10" x14ac:dyDescent="0.2">
      <c r="D358" s="7"/>
      <c r="E358" s="8"/>
      <c r="F358" s="9"/>
      <c r="H358" s="6"/>
      <c r="I358" s="6"/>
      <c r="J358" s="6"/>
    </row>
    <row r="359" spans="4:10" x14ac:dyDescent="0.2">
      <c r="D359" s="7"/>
      <c r="E359" s="8"/>
      <c r="F359" s="9"/>
      <c r="H359" s="6"/>
      <c r="I359" s="6"/>
      <c r="J359" s="6"/>
    </row>
    <row r="360" spans="4:10" x14ac:dyDescent="0.2">
      <c r="D360" s="7"/>
      <c r="E360" s="8"/>
      <c r="F360" s="9"/>
      <c r="H360" s="6"/>
      <c r="I360" s="6"/>
      <c r="J360" s="6"/>
    </row>
    <row r="361" spans="4:10" x14ac:dyDescent="0.2">
      <c r="D361" s="7"/>
      <c r="E361" s="8"/>
      <c r="F361" s="9"/>
      <c r="H361" s="6"/>
      <c r="I361" s="6"/>
      <c r="J361" s="6"/>
    </row>
    <row r="362" spans="4:10" x14ac:dyDescent="0.2">
      <c r="D362" s="7"/>
      <c r="E362" s="8"/>
      <c r="F362" s="9"/>
      <c r="H362" s="6"/>
      <c r="I362" s="6"/>
      <c r="J362" s="6"/>
    </row>
    <row r="363" spans="4:10" x14ac:dyDescent="0.2">
      <c r="D363" s="7"/>
      <c r="E363" s="8"/>
      <c r="F363" s="9"/>
      <c r="H363" s="6"/>
      <c r="I363" s="6"/>
      <c r="J363" s="6"/>
    </row>
    <row r="364" spans="4:10" x14ac:dyDescent="0.2">
      <c r="D364" s="7"/>
      <c r="E364" s="8"/>
      <c r="F364" s="9"/>
      <c r="H364" s="6"/>
      <c r="I364" s="6"/>
      <c r="J364" s="6"/>
    </row>
    <row r="365" spans="4:10" x14ac:dyDescent="0.2">
      <c r="D365" s="7"/>
      <c r="E365" s="8"/>
      <c r="F365" s="9"/>
      <c r="H365" s="6"/>
      <c r="I365" s="6"/>
      <c r="J365" s="6"/>
    </row>
    <row r="366" spans="4:10" x14ac:dyDescent="0.2">
      <c r="D366" s="7"/>
      <c r="E366" s="8"/>
      <c r="F366" s="9"/>
      <c r="H366" s="6"/>
      <c r="I366" s="6"/>
      <c r="J366" s="6"/>
    </row>
    <row r="367" spans="4:10" x14ac:dyDescent="0.2">
      <c r="D367" s="7"/>
      <c r="E367" s="8"/>
      <c r="F367" s="9"/>
      <c r="H367" s="6"/>
      <c r="I367" s="6"/>
      <c r="J367" s="6"/>
    </row>
    <row r="368" spans="4:10" x14ac:dyDescent="0.2">
      <c r="D368" s="7"/>
      <c r="E368" s="8"/>
      <c r="F368" s="9"/>
      <c r="H368" s="6"/>
      <c r="I368" s="6"/>
      <c r="J368" s="6"/>
    </row>
    <row r="369" spans="4:10" x14ac:dyDescent="0.2">
      <c r="D369" s="7"/>
      <c r="E369" s="8"/>
      <c r="F369" s="9"/>
      <c r="H369" s="6"/>
      <c r="I369" s="6"/>
      <c r="J369" s="6"/>
    </row>
    <row r="370" spans="4:10" x14ac:dyDescent="0.2">
      <c r="D370" s="7"/>
      <c r="E370" s="8"/>
      <c r="F370" s="9"/>
      <c r="H370" s="6"/>
      <c r="I370" s="6"/>
      <c r="J370" s="6"/>
    </row>
    <row r="371" spans="4:10" x14ac:dyDescent="0.2">
      <c r="D371" s="7"/>
      <c r="E371" s="8"/>
      <c r="F371" s="9"/>
      <c r="H371" s="6"/>
      <c r="I371" s="6"/>
      <c r="J371" s="6"/>
    </row>
    <row r="372" spans="4:10" x14ac:dyDescent="0.2">
      <c r="D372" s="7"/>
      <c r="E372" s="8"/>
      <c r="F372" s="9"/>
      <c r="H372" s="6"/>
      <c r="I372" s="6"/>
      <c r="J372" s="6"/>
    </row>
    <row r="373" spans="4:10" x14ac:dyDescent="0.2">
      <c r="D373" s="7"/>
      <c r="E373" s="8"/>
      <c r="F373" s="9"/>
      <c r="H373" s="6"/>
      <c r="I373" s="6"/>
      <c r="J373" s="6"/>
    </row>
    <row r="374" spans="4:10" x14ac:dyDescent="0.2">
      <c r="D374" s="7"/>
      <c r="E374" s="8"/>
      <c r="F374" s="9"/>
      <c r="H374" s="6"/>
      <c r="I374" s="6"/>
      <c r="J374" s="6"/>
    </row>
    <row r="375" spans="4:10" x14ac:dyDescent="0.2">
      <c r="D375" s="7"/>
      <c r="E375" s="8"/>
      <c r="F375" s="9"/>
      <c r="H375" s="6"/>
      <c r="I375" s="6"/>
      <c r="J375" s="6"/>
    </row>
    <row r="376" spans="4:10" x14ac:dyDescent="0.2">
      <c r="D376" s="7"/>
      <c r="E376" s="8"/>
      <c r="F376" s="9"/>
      <c r="H376" s="6"/>
      <c r="I376" s="6"/>
      <c r="J376" s="6"/>
    </row>
    <row r="377" spans="4:10" x14ac:dyDescent="0.2">
      <c r="D377" s="7"/>
      <c r="E377" s="8"/>
      <c r="F377" s="9"/>
      <c r="H377" s="6"/>
      <c r="I377" s="6"/>
      <c r="J377" s="6"/>
    </row>
    <row r="378" spans="4:10" x14ac:dyDescent="0.2">
      <c r="D378" s="7"/>
      <c r="E378" s="8"/>
      <c r="F378" s="9"/>
      <c r="H378" s="6"/>
      <c r="I378" s="6"/>
      <c r="J378" s="6"/>
    </row>
    <row r="379" spans="4:10" x14ac:dyDescent="0.2">
      <c r="D379" s="7"/>
      <c r="E379" s="8"/>
      <c r="F379" s="9"/>
      <c r="H379" s="6"/>
      <c r="I379" s="6"/>
      <c r="J379" s="6"/>
    </row>
    <row r="380" spans="4:10" x14ac:dyDescent="0.2">
      <c r="D380" s="7"/>
      <c r="E380" s="8"/>
      <c r="F380" s="9"/>
      <c r="H380" s="6"/>
      <c r="I380" s="6"/>
      <c r="J380" s="6"/>
    </row>
    <row r="381" spans="4:10" x14ac:dyDescent="0.2">
      <c r="D381" s="7"/>
      <c r="E381" s="8"/>
      <c r="F381" s="9"/>
      <c r="H381" s="6"/>
      <c r="I381" s="6"/>
      <c r="J381" s="6"/>
    </row>
    <row r="382" spans="4:10" x14ac:dyDescent="0.2">
      <c r="D382" s="7"/>
      <c r="E382" s="8"/>
      <c r="F382" s="9"/>
      <c r="H382" s="6"/>
      <c r="I382" s="6"/>
      <c r="J382" s="6"/>
    </row>
    <row r="383" spans="4:10" x14ac:dyDescent="0.2">
      <c r="D383" s="7"/>
      <c r="E383" s="8"/>
      <c r="F383" s="9"/>
      <c r="H383" s="6"/>
      <c r="I383" s="6"/>
      <c r="J383" s="6"/>
    </row>
    <row r="384" spans="4:10" x14ac:dyDescent="0.2">
      <c r="D384" s="7"/>
      <c r="E384" s="8"/>
      <c r="F384" s="9"/>
      <c r="H384" s="6"/>
      <c r="I384" s="6"/>
      <c r="J384" s="6"/>
    </row>
    <row r="385" spans="4:10" x14ac:dyDescent="0.2">
      <c r="D385" s="7"/>
      <c r="E385" s="8"/>
      <c r="F385" s="9"/>
      <c r="H385" s="6"/>
      <c r="I385" s="6"/>
      <c r="J385" s="6"/>
    </row>
    <row r="386" spans="4:10" x14ac:dyDescent="0.2">
      <c r="D386" s="7"/>
      <c r="E386" s="8"/>
      <c r="F386" s="9"/>
      <c r="H386" s="6"/>
      <c r="I386" s="6"/>
      <c r="J386" s="6"/>
    </row>
    <row r="387" spans="4:10" x14ac:dyDescent="0.2">
      <c r="D387" s="7"/>
      <c r="E387" s="8"/>
      <c r="F387" s="9"/>
      <c r="H387" s="6"/>
      <c r="I387" s="6"/>
      <c r="J387" s="6"/>
    </row>
    <row r="388" spans="4:10" x14ac:dyDescent="0.2">
      <c r="D388" s="7"/>
      <c r="E388" s="8"/>
      <c r="F388" s="9"/>
      <c r="H388" s="6"/>
      <c r="I388" s="6"/>
      <c r="J388" s="6"/>
    </row>
    <row r="389" spans="4:10" x14ac:dyDescent="0.2">
      <c r="D389" s="7"/>
      <c r="E389" s="8"/>
      <c r="F389" s="9"/>
      <c r="H389" s="6"/>
      <c r="I389" s="6"/>
      <c r="J389" s="6"/>
    </row>
    <row r="390" spans="4:10" x14ac:dyDescent="0.2">
      <c r="D390" s="7"/>
      <c r="E390" s="8"/>
      <c r="F390" s="9"/>
      <c r="H390" s="6"/>
      <c r="I390" s="6"/>
      <c r="J390" s="6"/>
    </row>
    <row r="391" spans="4:10" x14ac:dyDescent="0.2">
      <c r="D391" s="7"/>
      <c r="E391" s="8"/>
      <c r="F391" s="9"/>
      <c r="H391" s="6"/>
      <c r="I391" s="6"/>
      <c r="J391" s="6"/>
    </row>
    <row r="392" spans="4:10" x14ac:dyDescent="0.2">
      <c r="D392" s="7"/>
      <c r="E392" s="8"/>
      <c r="F392" s="9"/>
      <c r="H392" s="6"/>
      <c r="I392" s="6"/>
      <c r="J392" s="6"/>
    </row>
    <row r="393" spans="4:10" x14ac:dyDescent="0.2">
      <c r="D393" s="7"/>
      <c r="E393" s="8"/>
      <c r="F393" s="9"/>
      <c r="H393" s="6"/>
      <c r="I393" s="6"/>
      <c r="J393" s="6"/>
    </row>
    <row r="394" spans="4:10" x14ac:dyDescent="0.2">
      <c r="D394" s="7"/>
      <c r="E394" s="8"/>
      <c r="F394" s="9"/>
      <c r="H394" s="6"/>
      <c r="I394" s="6"/>
      <c r="J394" s="6"/>
    </row>
    <row r="395" spans="4:10" x14ac:dyDescent="0.2">
      <c r="D395" s="7"/>
      <c r="E395" s="8"/>
      <c r="F395" s="9"/>
      <c r="H395" s="6"/>
      <c r="I395" s="6"/>
      <c r="J395" s="6"/>
    </row>
    <row r="396" spans="4:10" x14ac:dyDescent="0.2">
      <c r="D396" s="7"/>
      <c r="E396" s="8"/>
      <c r="F396" s="9"/>
      <c r="H396" s="6"/>
      <c r="I396" s="6"/>
      <c r="J396" s="6"/>
    </row>
    <row r="397" spans="4:10" x14ac:dyDescent="0.2">
      <c r="D397" s="7"/>
      <c r="E397" s="8"/>
      <c r="F397" s="9"/>
      <c r="H397" s="6"/>
      <c r="I397" s="6"/>
      <c r="J397" s="6"/>
    </row>
    <row r="398" spans="4:10" x14ac:dyDescent="0.2">
      <c r="D398" s="7"/>
      <c r="E398" s="8"/>
      <c r="F398" s="9"/>
      <c r="H398" s="6"/>
      <c r="I398" s="6"/>
      <c r="J398" s="6"/>
    </row>
    <row r="399" spans="4:10" x14ac:dyDescent="0.2">
      <c r="D399" s="7"/>
      <c r="E399" s="8"/>
      <c r="F399" s="9"/>
      <c r="H399" s="6"/>
      <c r="I399" s="6"/>
      <c r="J399" s="6"/>
    </row>
    <row r="400" spans="4:10" x14ac:dyDescent="0.2">
      <c r="D400" s="7"/>
      <c r="E400" s="8"/>
      <c r="F400" s="9"/>
      <c r="H400" s="6"/>
      <c r="I400" s="6"/>
      <c r="J400" s="6"/>
    </row>
    <row r="401" spans="4:10" x14ac:dyDescent="0.2">
      <c r="D401" s="7"/>
      <c r="E401" s="8"/>
      <c r="F401" s="9"/>
      <c r="H401" s="6"/>
      <c r="I401" s="6"/>
      <c r="J401" s="6"/>
    </row>
    <row r="402" spans="4:10" x14ac:dyDescent="0.2">
      <c r="D402" s="7"/>
      <c r="E402" s="8"/>
      <c r="F402" s="9"/>
      <c r="H402" s="6"/>
      <c r="I402" s="6"/>
      <c r="J402" s="6"/>
    </row>
    <row r="403" spans="4:10" x14ac:dyDescent="0.2">
      <c r="D403" s="7"/>
      <c r="E403" s="8"/>
      <c r="F403" s="9"/>
      <c r="H403" s="6"/>
      <c r="I403" s="6"/>
      <c r="J403" s="6"/>
    </row>
    <row r="404" spans="4:10" x14ac:dyDescent="0.2">
      <c r="D404" s="7"/>
      <c r="E404" s="8"/>
      <c r="F404" s="9"/>
      <c r="H404" s="6"/>
      <c r="I404" s="6"/>
      <c r="J404" s="6"/>
    </row>
    <row r="405" spans="4:10" x14ac:dyDescent="0.2">
      <c r="D405" s="7"/>
      <c r="E405" s="8"/>
      <c r="F405" s="9"/>
      <c r="H405" s="6"/>
      <c r="I405" s="6"/>
      <c r="J405" s="6"/>
    </row>
    <row r="406" spans="4:10" x14ac:dyDescent="0.2">
      <c r="D406" s="7"/>
      <c r="E406" s="8"/>
      <c r="F406" s="9"/>
      <c r="H406" s="6"/>
      <c r="I406" s="6"/>
      <c r="J406" s="6"/>
    </row>
    <row r="407" spans="4:10" x14ac:dyDescent="0.2">
      <c r="D407" s="7"/>
      <c r="E407" s="8"/>
      <c r="F407" s="9"/>
      <c r="H407" s="6"/>
      <c r="I407" s="6"/>
      <c r="J407" s="6"/>
    </row>
    <row r="408" spans="4:10" x14ac:dyDescent="0.2">
      <c r="D408" s="7"/>
      <c r="E408" s="8"/>
      <c r="F408" s="9"/>
      <c r="H408" s="6"/>
      <c r="I408" s="6"/>
      <c r="J408" s="6"/>
    </row>
    <row r="409" spans="4:10" x14ac:dyDescent="0.2">
      <c r="D409" s="7"/>
      <c r="E409" s="8"/>
      <c r="F409" s="9"/>
      <c r="H409" s="6"/>
      <c r="I409" s="6"/>
      <c r="J409" s="6"/>
    </row>
    <row r="410" spans="4:10" x14ac:dyDescent="0.2">
      <c r="D410" s="7"/>
      <c r="E410" s="8"/>
      <c r="F410" s="9"/>
      <c r="H410" s="6"/>
      <c r="I410" s="6"/>
      <c r="J410" s="6"/>
    </row>
    <row r="411" spans="4:10" x14ac:dyDescent="0.2">
      <c r="D411" s="7"/>
      <c r="E411" s="8"/>
      <c r="F411" s="9"/>
      <c r="H411" s="6"/>
      <c r="I411" s="6"/>
      <c r="J411" s="6"/>
    </row>
    <row r="412" spans="4:10" x14ac:dyDescent="0.2">
      <c r="D412" s="7"/>
      <c r="E412" s="8"/>
      <c r="F412" s="9"/>
      <c r="H412" s="6"/>
      <c r="I412" s="6"/>
      <c r="J412" s="6"/>
    </row>
    <row r="413" spans="4:10" x14ac:dyDescent="0.2">
      <c r="D413" s="7"/>
      <c r="E413" s="8"/>
      <c r="F413" s="9"/>
      <c r="H413" s="6"/>
      <c r="I413" s="6"/>
      <c r="J413" s="6"/>
    </row>
    <row r="414" spans="4:10" x14ac:dyDescent="0.2">
      <c r="D414" s="7"/>
      <c r="E414" s="8"/>
      <c r="F414" s="9"/>
      <c r="H414" s="6"/>
      <c r="I414" s="6"/>
      <c r="J414" s="6"/>
    </row>
    <row r="415" spans="4:10" x14ac:dyDescent="0.2">
      <c r="D415" s="7"/>
      <c r="E415" s="8"/>
      <c r="F415" s="9"/>
      <c r="H415" s="6"/>
      <c r="I415" s="6"/>
      <c r="J415" s="6"/>
    </row>
    <row r="416" spans="4:10" x14ac:dyDescent="0.2">
      <c r="D416" s="7"/>
      <c r="E416" s="8"/>
      <c r="F416" s="9"/>
      <c r="H416" s="6"/>
      <c r="I416" s="6"/>
      <c r="J416" s="6"/>
    </row>
    <row r="417" spans="4:10" x14ac:dyDescent="0.2">
      <c r="D417" s="7"/>
      <c r="E417" s="8"/>
      <c r="F417" s="9"/>
      <c r="H417" s="6"/>
      <c r="I417" s="6"/>
      <c r="J417" s="6"/>
    </row>
    <row r="418" spans="4:10" x14ac:dyDescent="0.2">
      <c r="D418" s="7"/>
      <c r="E418" s="8"/>
      <c r="F418" s="9"/>
      <c r="H418" s="6"/>
      <c r="I418" s="6"/>
      <c r="J418" s="6"/>
    </row>
    <row r="419" spans="4:10" x14ac:dyDescent="0.2">
      <c r="D419" s="7"/>
      <c r="E419" s="8"/>
      <c r="F419" s="9"/>
      <c r="H419" s="6"/>
      <c r="I419" s="6"/>
      <c r="J419" s="6"/>
    </row>
    <row r="420" spans="4:10" x14ac:dyDescent="0.2">
      <c r="D420" s="7"/>
      <c r="E420" s="8"/>
      <c r="F420" s="9"/>
      <c r="H420" s="6"/>
      <c r="I420" s="6"/>
      <c r="J420" s="6"/>
    </row>
    <row r="421" spans="4:10" x14ac:dyDescent="0.2">
      <c r="D421" s="7"/>
      <c r="E421" s="8"/>
      <c r="F421" s="9"/>
      <c r="H421" s="6"/>
      <c r="I421" s="6"/>
      <c r="J421" s="6"/>
    </row>
    <row r="422" spans="4:10" x14ac:dyDescent="0.2">
      <c r="D422" s="7"/>
      <c r="E422" s="8"/>
      <c r="F422" s="9"/>
      <c r="H422" s="6"/>
      <c r="I422" s="6"/>
      <c r="J422" s="6"/>
    </row>
    <row r="423" spans="4:10" x14ac:dyDescent="0.2">
      <c r="D423" s="7"/>
      <c r="E423" s="8"/>
      <c r="F423" s="9"/>
      <c r="H423" s="6"/>
      <c r="I423" s="6"/>
      <c r="J423" s="6"/>
    </row>
    <row r="424" spans="4:10" x14ac:dyDescent="0.2">
      <c r="D424" s="7"/>
      <c r="E424" s="8"/>
      <c r="F424" s="9"/>
      <c r="H424" s="6"/>
      <c r="I424" s="6"/>
      <c r="J424" s="6"/>
    </row>
    <row r="425" spans="4:10" x14ac:dyDescent="0.2">
      <c r="D425" s="7"/>
      <c r="E425" s="8"/>
      <c r="F425" s="9"/>
      <c r="H425" s="6"/>
      <c r="I425" s="6"/>
      <c r="J425" s="6"/>
    </row>
    <row r="426" spans="4:10" x14ac:dyDescent="0.2">
      <c r="D426" s="7"/>
      <c r="E426" s="8"/>
      <c r="F426" s="9"/>
      <c r="H426" s="6"/>
      <c r="I426" s="6"/>
      <c r="J426" s="6"/>
    </row>
    <row r="427" spans="4:10" x14ac:dyDescent="0.2">
      <c r="D427" s="7"/>
      <c r="E427" s="8"/>
      <c r="F427" s="9"/>
      <c r="H427" s="6"/>
      <c r="I427" s="6"/>
      <c r="J427" s="6"/>
    </row>
    <row r="428" spans="4:10" x14ac:dyDescent="0.2">
      <c r="D428" s="7"/>
      <c r="E428" s="8"/>
      <c r="F428" s="9"/>
      <c r="H428" s="6"/>
      <c r="I428" s="6"/>
      <c r="J428" s="6"/>
    </row>
    <row r="429" spans="4:10" x14ac:dyDescent="0.2">
      <c r="D429" s="7"/>
      <c r="E429" s="8"/>
      <c r="F429" s="9"/>
      <c r="H429" s="6"/>
      <c r="I429" s="6"/>
      <c r="J429" s="6"/>
    </row>
    <row r="430" spans="4:10" x14ac:dyDescent="0.2">
      <c r="D430" s="7"/>
      <c r="E430" s="8"/>
      <c r="F430" s="9"/>
      <c r="H430" s="6"/>
      <c r="I430" s="6"/>
      <c r="J430" s="6"/>
    </row>
    <row r="431" spans="4:10" x14ac:dyDescent="0.2">
      <c r="D431" s="7"/>
      <c r="E431" s="8"/>
      <c r="F431" s="9"/>
      <c r="H431" s="6"/>
      <c r="I431" s="6"/>
      <c r="J431" s="6"/>
    </row>
    <row r="432" spans="4:10" x14ac:dyDescent="0.2">
      <c r="D432" s="7"/>
      <c r="E432" s="8"/>
      <c r="F432" s="9"/>
      <c r="H432" s="6"/>
      <c r="I432" s="6"/>
      <c r="J432" s="6"/>
    </row>
    <row r="433" spans="4:10" x14ac:dyDescent="0.2">
      <c r="D433" s="7"/>
      <c r="E433" s="8"/>
      <c r="F433" s="9"/>
      <c r="H433" s="6"/>
      <c r="I433" s="6"/>
      <c r="J433" s="6"/>
    </row>
    <row r="434" spans="4:10" x14ac:dyDescent="0.2">
      <c r="D434" s="7"/>
      <c r="E434" s="8"/>
      <c r="F434" s="9"/>
      <c r="H434" s="6"/>
      <c r="I434" s="6"/>
      <c r="J434" s="6"/>
    </row>
    <row r="435" spans="4:10" x14ac:dyDescent="0.2">
      <c r="D435" s="7"/>
      <c r="E435" s="8"/>
      <c r="F435" s="9"/>
      <c r="H435" s="6"/>
      <c r="I435" s="6"/>
      <c r="J435" s="6"/>
    </row>
    <row r="436" spans="4:10" x14ac:dyDescent="0.2">
      <c r="D436" s="7"/>
      <c r="E436" s="8"/>
      <c r="F436" s="9"/>
      <c r="H436" s="6"/>
      <c r="I436" s="6"/>
      <c r="J436" s="6"/>
    </row>
    <row r="437" spans="4:10" x14ac:dyDescent="0.2">
      <c r="D437" s="7"/>
      <c r="E437" s="8"/>
      <c r="F437" s="9"/>
      <c r="H437" s="6"/>
      <c r="I437" s="6"/>
      <c r="J437" s="6"/>
    </row>
    <row r="438" spans="4:10" x14ac:dyDescent="0.2">
      <c r="D438" s="7"/>
      <c r="E438" s="8"/>
      <c r="F438" s="9"/>
      <c r="H438" s="6"/>
      <c r="I438" s="6"/>
      <c r="J438" s="6"/>
    </row>
    <row r="439" spans="4:10" x14ac:dyDescent="0.2">
      <c r="D439" s="7"/>
      <c r="E439" s="8"/>
      <c r="F439" s="9"/>
      <c r="H439" s="6"/>
      <c r="I439" s="6"/>
      <c r="J439" s="6"/>
    </row>
    <row r="440" spans="4:10" x14ac:dyDescent="0.2">
      <c r="D440" s="7"/>
      <c r="E440" s="8"/>
      <c r="F440" s="9"/>
      <c r="H440" s="6"/>
      <c r="I440" s="6"/>
      <c r="J440" s="6"/>
    </row>
    <row r="441" spans="4:10" x14ac:dyDescent="0.2">
      <c r="D441" s="7"/>
      <c r="E441" s="8"/>
      <c r="F441" s="9"/>
      <c r="H441" s="6"/>
      <c r="I441" s="6"/>
      <c r="J441" s="6"/>
    </row>
    <row r="442" spans="4:10" x14ac:dyDescent="0.2">
      <c r="D442" s="7"/>
      <c r="E442" s="8"/>
      <c r="F442" s="9"/>
      <c r="H442" s="6"/>
      <c r="I442" s="6"/>
      <c r="J442" s="6"/>
    </row>
    <row r="443" spans="4:10" x14ac:dyDescent="0.2">
      <c r="D443" s="7"/>
      <c r="E443" s="8"/>
      <c r="F443" s="9"/>
      <c r="H443" s="6"/>
      <c r="I443" s="6"/>
      <c r="J443" s="6"/>
    </row>
    <row r="444" spans="4:10" x14ac:dyDescent="0.2">
      <c r="D444" s="7"/>
      <c r="E444" s="8"/>
      <c r="F444" s="9"/>
      <c r="H444" s="6"/>
      <c r="I444" s="6"/>
      <c r="J444" s="6"/>
    </row>
    <row r="445" spans="4:10" x14ac:dyDescent="0.2">
      <c r="D445" s="7"/>
      <c r="E445" s="8"/>
      <c r="F445" s="9"/>
      <c r="H445" s="6"/>
      <c r="I445" s="6"/>
      <c r="J445" s="6"/>
    </row>
    <row r="446" spans="4:10" x14ac:dyDescent="0.2">
      <c r="D446" s="7"/>
      <c r="E446" s="8"/>
      <c r="F446" s="9"/>
      <c r="H446" s="6"/>
      <c r="I446" s="6"/>
      <c r="J446" s="6"/>
    </row>
    <row r="447" spans="4:10" x14ac:dyDescent="0.2">
      <c r="D447" s="7"/>
      <c r="E447" s="8"/>
      <c r="F447" s="9"/>
      <c r="H447" s="6"/>
      <c r="I447" s="6"/>
      <c r="J447" s="6"/>
    </row>
    <row r="448" spans="4:10" x14ac:dyDescent="0.2">
      <c r="D448" s="7"/>
      <c r="E448" s="8"/>
      <c r="F448" s="9"/>
      <c r="H448" s="6"/>
      <c r="I448" s="6"/>
      <c r="J448" s="6"/>
    </row>
    <row r="449" spans="4:10" x14ac:dyDescent="0.2">
      <c r="D449" s="7"/>
      <c r="E449" s="8"/>
      <c r="F449" s="9"/>
      <c r="H449" s="6"/>
      <c r="I449" s="6"/>
      <c r="J449" s="6"/>
    </row>
    <row r="450" spans="4:10" x14ac:dyDescent="0.2">
      <c r="D450" s="7"/>
      <c r="E450" s="8"/>
      <c r="F450" s="9"/>
      <c r="H450" s="6"/>
      <c r="I450" s="6"/>
      <c r="J450" s="6"/>
    </row>
    <row r="451" spans="4:10" x14ac:dyDescent="0.2">
      <c r="D451" s="7"/>
      <c r="E451" s="8"/>
      <c r="F451" s="9"/>
      <c r="H451" s="6"/>
      <c r="I451" s="6"/>
      <c r="J451" s="6"/>
    </row>
    <row r="452" spans="4:10" x14ac:dyDescent="0.2">
      <c r="D452" s="7"/>
      <c r="E452" s="8"/>
      <c r="F452" s="9"/>
      <c r="H452" s="6"/>
      <c r="I452" s="6"/>
      <c r="J452" s="6"/>
    </row>
    <row r="453" spans="4:10" x14ac:dyDescent="0.2">
      <c r="D453" s="7"/>
      <c r="E453" s="8"/>
      <c r="F453" s="9"/>
      <c r="H453" s="6"/>
      <c r="I453" s="6"/>
      <c r="J453" s="6"/>
    </row>
    <row r="454" spans="4:10" x14ac:dyDescent="0.2">
      <c r="D454" s="7"/>
      <c r="E454" s="8"/>
      <c r="F454" s="9"/>
      <c r="H454" s="6"/>
      <c r="I454" s="6"/>
      <c r="J454" s="6"/>
    </row>
    <row r="455" spans="4:10" x14ac:dyDescent="0.2">
      <c r="D455" s="7"/>
      <c r="E455" s="8"/>
      <c r="F455" s="9"/>
      <c r="H455" s="6"/>
      <c r="I455" s="6"/>
      <c r="J455" s="6"/>
    </row>
    <row r="456" spans="4:10" x14ac:dyDescent="0.2">
      <c r="D456" s="7"/>
      <c r="E456" s="8"/>
      <c r="F456" s="9"/>
      <c r="H456" s="6"/>
      <c r="I456" s="6"/>
      <c r="J456" s="6"/>
    </row>
    <row r="457" spans="4:10" x14ac:dyDescent="0.2">
      <c r="D457" s="7"/>
      <c r="E457" s="8"/>
      <c r="F457" s="9"/>
      <c r="H457" s="6"/>
      <c r="I457" s="6"/>
      <c r="J457" s="6"/>
    </row>
    <row r="458" spans="4:10" x14ac:dyDescent="0.2">
      <c r="D458" s="7"/>
      <c r="E458" s="8"/>
      <c r="F458" s="9"/>
      <c r="H458" s="6"/>
      <c r="I458" s="6"/>
      <c r="J458" s="6"/>
    </row>
    <row r="459" spans="4:10" x14ac:dyDescent="0.2">
      <c r="D459" s="7"/>
      <c r="E459" s="8"/>
      <c r="F459" s="9"/>
      <c r="H459" s="6"/>
      <c r="I459" s="6"/>
      <c r="J459" s="6"/>
    </row>
    <row r="460" spans="4:10" x14ac:dyDescent="0.2">
      <c r="D460" s="7"/>
      <c r="E460" s="8"/>
      <c r="F460" s="9"/>
      <c r="H460" s="6"/>
      <c r="I460" s="6"/>
      <c r="J460" s="6"/>
    </row>
    <row r="461" spans="4:10" x14ac:dyDescent="0.2">
      <c r="D461" s="7"/>
      <c r="E461" s="8"/>
      <c r="F461" s="9"/>
      <c r="H461" s="6"/>
      <c r="I461" s="6"/>
      <c r="J461" s="6"/>
    </row>
    <row r="462" spans="4:10" x14ac:dyDescent="0.2">
      <c r="D462" s="7"/>
      <c r="E462" s="8"/>
      <c r="F462" s="9"/>
      <c r="H462" s="6"/>
      <c r="I462" s="6"/>
      <c r="J462" s="6"/>
    </row>
    <row r="463" spans="4:10" x14ac:dyDescent="0.2">
      <c r="D463" s="7"/>
      <c r="E463" s="8"/>
      <c r="F463" s="9"/>
      <c r="H463" s="6"/>
      <c r="I463" s="6"/>
      <c r="J463" s="6"/>
    </row>
    <row r="464" spans="4:10" x14ac:dyDescent="0.2">
      <c r="D464" s="7"/>
      <c r="E464" s="8"/>
      <c r="F464" s="9"/>
      <c r="H464" s="6"/>
      <c r="I464" s="6"/>
      <c r="J464" s="6"/>
    </row>
    <row r="465" spans="4:10" x14ac:dyDescent="0.2">
      <c r="D465" s="7"/>
      <c r="E465" s="8"/>
      <c r="F465" s="9"/>
      <c r="H465" s="6"/>
      <c r="I465" s="6"/>
      <c r="J465" s="6"/>
    </row>
    <row r="466" spans="4:10" x14ac:dyDescent="0.2">
      <c r="D466" s="7"/>
      <c r="E466" s="8"/>
      <c r="F466" s="9"/>
      <c r="H466" s="6"/>
      <c r="I466" s="6"/>
      <c r="J466" s="6"/>
    </row>
    <row r="467" spans="4:10" x14ac:dyDescent="0.2">
      <c r="D467" s="7"/>
      <c r="E467" s="8"/>
      <c r="F467" s="9"/>
      <c r="H467" s="6"/>
      <c r="I467" s="6"/>
      <c r="J467" s="6"/>
    </row>
    <row r="468" spans="4:10" x14ac:dyDescent="0.2">
      <c r="D468" s="7"/>
      <c r="E468" s="8"/>
      <c r="F468" s="9"/>
      <c r="H468" s="6"/>
      <c r="I468" s="6"/>
      <c r="J468" s="6"/>
    </row>
    <row r="469" spans="4:10" x14ac:dyDescent="0.2">
      <c r="D469" s="7"/>
      <c r="E469" s="8"/>
      <c r="F469" s="9"/>
      <c r="H469" s="6"/>
      <c r="I469" s="6"/>
      <c r="J469" s="6"/>
    </row>
    <row r="470" spans="4:10" x14ac:dyDescent="0.2">
      <c r="D470" s="7"/>
      <c r="E470" s="8"/>
      <c r="F470" s="9"/>
      <c r="H470" s="6"/>
      <c r="I470" s="6"/>
      <c r="J470" s="6"/>
    </row>
    <row r="471" spans="4:10" x14ac:dyDescent="0.2">
      <c r="D471" s="7"/>
      <c r="E471" s="8"/>
      <c r="F471" s="9"/>
      <c r="H471" s="6"/>
      <c r="I471" s="6"/>
      <c r="J471" s="6"/>
    </row>
    <row r="472" spans="4:10" x14ac:dyDescent="0.2">
      <c r="D472" s="7"/>
      <c r="E472" s="8"/>
      <c r="F472" s="9"/>
      <c r="H472" s="6"/>
      <c r="I472" s="6"/>
      <c r="J472" s="6"/>
    </row>
    <row r="473" spans="4:10" x14ac:dyDescent="0.2">
      <c r="D473" s="7"/>
      <c r="E473" s="8"/>
      <c r="F473" s="9"/>
      <c r="H473" s="6"/>
      <c r="I473" s="6"/>
      <c r="J473" s="6"/>
    </row>
    <row r="474" spans="4:10" x14ac:dyDescent="0.2">
      <c r="D474" s="7"/>
      <c r="E474" s="8"/>
      <c r="F474" s="9"/>
      <c r="H474" s="6"/>
      <c r="I474" s="6"/>
      <c r="J474" s="6"/>
    </row>
    <row r="475" spans="4:10" x14ac:dyDescent="0.2">
      <c r="D475" s="7"/>
      <c r="E475" s="8"/>
      <c r="F475" s="9"/>
      <c r="H475" s="6"/>
      <c r="I475" s="6"/>
      <c r="J475" s="6"/>
    </row>
    <row r="476" spans="4:10" x14ac:dyDescent="0.2">
      <c r="D476" s="7"/>
      <c r="E476" s="8"/>
      <c r="F476" s="9"/>
      <c r="H476" s="6"/>
      <c r="I476" s="6"/>
      <c r="J476" s="6"/>
    </row>
    <row r="477" spans="4:10" x14ac:dyDescent="0.2">
      <c r="D477" s="7"/>
      <c r="E477" s="8"/>
      <c r="F477" s="9"/>
      <c r="H477" s="6"/>
      <c r="I477" s="6"/>
      <c r="J477" s="6"/>
    </row>
    <row r="478" spans="4:10" x14ac:dyDescent="0.2">
      <c r="D478" s="7"/>
      <c r="E478" s="8"/>
      <c r="F478" s="9"/>
      <c r="H478" s="6"/>
      <c r="I478" s="6"/>
      <c r="J478" s="6"/>
    </row>
    <row r="479" spans="4:10" x14ac:dyDescent="0.2">
      <c r="D479" s="7"/>
      <c r="E479" s="8"/>
      <c r="F479" s="9"/>
      <c r="H479" s="6"/>
      <c r="I479" s="6"/>
      <c r="J479" s="6"/>
    </row>
    <row r="480" spans="4:10" x14ac:dyDescent="0.2">
      <c r="D480" s="7"/>
      <c r="E480" s="8"/>
      <c r="F480" s="9"/>
      <c r="H480" s="6"/>
      <c r="I480" s="6"/>
      <c r="J480" s="6"/>
    </row>
    <row r="481" spans="4:10" x14ac:dyDescent="0.2">
      <c r="D481" s="7"/>
      <c r="E481" s="8"/>
      <c r="F481" s="9"/>
      <c r="H481" s="6"/>
      <c r="I481" s="6"/>
      <c r="J481" s="6"/>
    </row>
    <row r="482" spans="4:10" x14ac:dyDescent="0.2">
      <c r="D482" s="7"/>
      <c r="E482" s="8"/>
      <c r="F482" s="9"/>
      <c r="H482" s="6"/>
      <c r="I482" s="6"/>
      <c r="J482" s="6"/>
    </row>
    <row r="483" spans="4:10" x14ac:dyDescent="0.2">
      <c r="D483" s="7"/>
      <c r="E483" s="8"/>
      <c r="F483" s="9"/>
      <c r="H483" s="6"/>
      <c r="I483" s="6"/>
      <c r="J483" s="6"/>
    </row>
    <row r="484" spans="4:10" x14ac:dyDescent="0.2">
      <c r="D484" s="7"/>
      <c r="E484" s="8"/>
      <c r="F484" s="9"/>
      <c r="H484" s="6"/>
      <c r="I484" s="6"/>
      <c r="J484" s="6"/>
    </row>
    <row r="485" spans="4:10" x14ac:dyDescent="0.2">
      <c r="D485" s="7"/>
      <c r="E485" s="8"/>
      <c r="F485" s="9"/>
      <c r="H485" s="6"/>
      <c r="I485" s="6"/>
      <c r="J485" s="6"/>
    </row>
    <row r="486" spans="4:10" x14ac:dyDescent="0.2">
      <c r="D486" s="7"/>
      <c r="E486" s="8"/>
      <c r="F486" s="9"/>
      <c r="H486" s="6"/>
      <c r="I486" s="6"/>
      <c r="J486" s="6"/>
    </row>
    <row r="487" spans="4:10" x14ac:dyDescent="0.2">
      <c r="D487" s="7"/>
      <c r="E487" s="8"/>
      <c r="F487" s="9"/>
      <c r="H487" s="6"/>
      <c r="I487" s="6"/>
      <c r="J487" s="6"/>
    </row>
    <row r="488" spans="4:10" x14ac:dyDescent="0.2">
      <c r="D488" s="7"/>
      <c r="E488" s="8"/>
      <c r="F488" s="9"/>
      <c r="H488" s="6"/>
      <c r="I488" s="6"/>
      <c r="J488" s="6"/>
    </row>
    <row r="489" spans="4:10" x14ac:dyDescent="0.2">
      <c r="D489" s="7"/>
      <c r="E489" s="8"/>
      <c r="F489" s="9"/>
      <c r="H489" s="6"/>
      <c r="I489" s="6"/>
      <c r="J489" s="6"/>
    </row>
    <row r="490" spans="4:10" x14ac:dyDescent="0.2">
      <c r="D490" s="7"/>
      <c r="E490" s="8"/>
      <c r="F490" s="9"/>
      <c r="H490" s="6"/>
      <c r="I490" s="6"/>
      <c r="J490" s="6"/>
    </row>
    <row r="491" spans="4:10" x14ac:dyDescent="0.2">
      <c r="D491" s="7"/>
      <c r="E491" s="8"/>
      <c r="F491" s="9"/>
      <c r="H491" s="6"/>
      <c r="I491" s="6"/>
      <c r="J491" s="6"/>
    </row>
    <row r="492" spans="4:10" x14ac:dyDescent="0.2">
      <c r="D492" s="7"/>
      <c r="E492" s="8"/>
      <c r="F492" s="9"/>
      <c r="H492" s="6"/>
      <c r="I492" s="6"/>
      <c r="J492" s="6"/>
    </row>
    <row r="493" spans="4:10" x14ac:dyDescent="0.2">
      <c r="D493" s="7"/>
      <c r="E493" s="8"/>
      <c r="F493" s="9"/>
      <c r="H493" s="6"/>
      <c r="I493" s="6"/>
      <c r="J493" s="6"/>
    </row>
    <row r="494" spans="4:10" x14ac:dyDescent="0.2">
      <c r="D494" s="7"/>
      <c r="E494" s="8"/>
      <c r="F494" s="9"/>
      <c r="H494" s="6"/>
      <c r="I494" s="6"/>
      <c r="J494" s="6"/>
    </row>
    <row r="495" spans="4:10" x14ac:dyDescent="0.2">
      <c r="D495" s="7"/>
      <c r="E495" s="8"/>
      <c r="F495" s="9"/>
      <c r="H495" s="6"/>
      <c r="I495" s="6"/>
      <c r="J495" s="6"/>
    </row>
    <row r="496" spans="4:10" x14ac:dyDescent="0.2">
      <c r="D496" s="7"/>
      <c r="E496" s="8"/>
      <c r="F496" s="9"/>
      <c r="H496" s="6"/>
      <c r="I496" s="6"/>
      <c r="J496" s="6"/>
    </row>
    <row r="497" spans="4:10" x14ac:dyDescent="0.2">
      <c r="D497" s="7"/>
      <c r="E497" s="8"/>
      <c r="F497" s="9"/>
      <c r="H497" s="6"/>
      <c r="I497" s="6"/>
      <c r="J497" s="6"/>
    </row>
    <row r="498" spans="4:10" x14ac:dyDescent="0.2">
      <c r="D498" s="7"/>
      <c r="E498" s="8"/>
      <c r="F498" s="9"/>
      <c r="H498" s="6"/>
      <c r="I498" s="6"/>
      <c r="J498" s="6"/>
    </row>
    <row r="499" spans="4:10" x14ac:dyDescent="0.2">
      <c r="D499" s="7"/>
      <c r="E499" s="8"/>
      <c r="F499" s="9"/>
      <c r="H499" s="6"/>
      <c r="I499" s="6"/>
      <c r="J499" s="6"/>
    </row>
    <row r="500" spans="4:10" x14ac:dyDescent="0.2">
      <c r="D500" s="7"/>
      <c r="E500" s="8"/>
      <c r="F500" s="9"/>
      <c r="H500" s="6"/>
      <c r="I500" s="6"/>
      <c r="J500" s="6"/>
    </row>
    <row r="501" spans="4:10" x14ac:dyDescent="0.2">
      <c r="D501" s="7"/>
      <c r="E501" s="8"/>
      <c r="F501" s="9"/>
      <c r="H501" s="6"/>
      <c r="I501" s="6"/>
      <c r="J501" s="6"/>
    </row>
    <row r="502" spans="4:10" x14ac:dyDescent="0.2">
      <c r="D502" s="7"/>
      <c r="E502" s="8"/>
      <c r="F502" s="9"/>
      <c r="H502" s="6"/>
      <c r="I502" s="6"/>
      <c r="J502" s="6"/>
    </row>
    <row r="503" spans="4:10" x14ac:dyDescent="0.2">
      <c r="D503" s="7"/>
      <c r="E503" s="8"/>
      <c r="F503" s="9"/>
      <c r="H503" s="6"/>
      <c r="I503" s="6"/>
      <c r="J503" s="6"/>
    </row>
    <row r="504" spans="4:10" x14ac:dyDescent="0.2">
      <c r="D504" s="7"/>
      <c r="E504" s="8"/>
      <c r="F504" s="9"/>
      <c r="H504" s="6"/>
      <c r="I504" s="6"/>
      <c r="J504" s="6"/>
    </row>
    <row r="505" spans="4:10" x14ac:dyDescent="0.2">
      <c r="D505" s="7"/>
      <c r="E505" s="8"/>
      <c r="F505" s="9"/>
      <c r="H505" s="6"/>
      <c r="I505" s="6"/>
      <c r="J505" s="6"/>
    </row>
    <row r="506" spans="4:10" x14ac:dyDescent="0.2">
      <c r="D506" s="7"/>
      <c r="E506" s="8"/>
      <c r="F506" s="9"/>
      <c r="H506" s="6"/>
      <c r="I506" s="6"/>
      <c r="J506" s="6"/>
    </row>
    <row r="507" spans="4:10" x14ac:dyDescent="0.2">
      <c r="D507" s="7"/>
      <c r="E507" s="8"/>
      <c r="F507" s="9"/>
      <c r="H507" s="6"/>
      <c r="I507" s="6"/>
      <c r="J507" s="6"/>
    </row>
    <row r="508" spans="4:10" x14ac:dyDescent="0.2">
      <c r="D508" s="7"/>
      <c r="E508" s="8"/>
      <c r="F508" s="9"/>
      <c r="H508" s="6"/>
      <c r="I508" s="6"/>
      <c r="J508" s="6"/>
    </row>
    <row r="509" spans="4:10" x14ac:dyDescent="0.2">
      <c r="D509" s="7"/>
      <c r="E509" s="8"/>
      <c r="F509" s="9"/>
      <c r="H509" s="6"/>
      <c r="I509" s="6"/>
      <c r="J509" s="6"/>
    </row>
    <row r="510" spans="4:10" x14ac:dyDescent="0.2">
      <c r="D510" s="7"/>
      <c r="E510" s="8"/>
      <c r="F510" s="9"/>
      <c r="H510" s="6"/>
      <c r="I510" s="6"/>
      <c r="J510" s="6"/>
    </row>
    <row r="511" spans="4:10" x14ac:dyDescent="0.2">
      <c r="D511" s="7"/>
      <c r="E511" s="8"/>
      <c r="F511" s="9"/>
      <c r="H511" s="6"/>
      <c r="I511" s="6"/>
      <c r="J511" s="6"/>
    </row>
    <row r="512" spans="4:10" x14ac:dyDescent="0.2">
      <c r="D512" s="7"/>
      <c r="E512" s="8"/>
      <c r="F512" s="9"/>
      <c r="H512" s="6"/>
      <c r="I512" s="6"/>
      <c r="J512" s="6"/>
    </row>
    <row r="513" spans="4:10" x14ac:dyDescent="0.2">
      <c r="D513" s="7"/>
      <c r="E513" s="8"/>
      <c r="F513" s="9"/>
      <c r="H513" s="6"/>
      <c r="I513" s="6"/>
      <c r="J513" s="6"/>
    </row>
    <row r="514" spans="4:10" x14ac:dyDescent="0.2">
      <c r="D514" s="7"/>
      <c r="E514" s="8"/>
      <c r="F514" s="9"/>
      <c r="H514" s="6"/>
      <c r="I514" s="6"/>
      <c r="J514" s="6"/>
    </row>
    <row r="515" spans="4:10" x14ac:dyDescent="0.2">
      <c r="D515" s="7"/>
      <c r="E515" s="8"/>
      <c r="F515" s="9"/>
      <c r="H515" s="6"/>
      <c r="I515" s="6"/>
      <c r="J515" s="6"/>
    </row>
    <row r="516" spans="4:10" x14ac:dyDescent="0.2">
      <c r="D516" s="7"/>
      <c r="E516" s="8"/>
      <c r="F516" s="9"/>
      <c r="H516" s="6"/>
      <c r="I516" s="6"/>
      <c r="J516" s="6"/>
    </row>
    <row r="517" spans="4:10" x14ac:dyDescent="0.2">
      <c r="D517" s="7"/>
      <c r="E517" s="8"/>
      <c r="F517" s="9"/>
      <c r="H517" s="6"/>
      <c r="I517" s="6"/>
      <c r="J517" s="6"/>
    </row>
    <row r="518" spans="4:10" x14ac:dyDescent="0.2">
      <c r="D518" s="7"/>
      <c r="E518" s="8"/>
      <c r="F518" s="9"/>
      <c r="H518" s="6"/>
      <c r="I518" s="6"/>
      <c r="J518" s="6"/>
    </row>
    <row r="519" spans="4:10" x14ac:dyDescent="0.2">
      <c r="D519" s="7"/>
      <c r="E519" s="8"/>
      <c r="F519" s="9"/>
      <c r="H519" s="6"/>
      <c r="I519" s="6"/>
      <c r="J519" s="6"/>
    </row>
    <row r="520" spans="4:10" x14ac:dyDescent="0.2">
      <c r="D520" s="7"/>
      <c r="E520" s="8"/>
      <c r="F520" s="9"/>
      <c r="H520" s="6"/>
      <c r="I520" s="6"/>
      <c r="J520" s="6"/>
    </row>
    <row r="521" spans="4:10" x14ac:dyDescent="0.2">
      <c r="D521" s="7"/>
      <c r="E521" s="8"/>
      <c r="F521" s="9"/>
      <c r="H521" s="6"/>
      <c r="I521" s="6"/>
      <c r="J521" s="6"/>
    </row>
    <row r="522" spans="4:10" x14ac:dyDescent="0.2">
      <c r="D522" s="7"/>
      <c r="E522" s="8"/>
      <c r="F522" s="9"/>
      <c r="H522" s="6"/>
      <c r="I522" s="6"/>
      <c r="J522" s="6"/>
    </row>
    <row r="523" spans="4:10" x14ac:dyDescent="0.2">
      <c r="D523" s="7"/>
      <c r="E523" s="8"/>
      <c r="F523" s="9"/>
      <c r="H523" s="6"/>
      <c r="I523" s="6"/>
      <c r="J523" s="6"/>
    </row>
    <row r="524" spans="4:10" x14ac:dyDescent="0.2">
      <c r="D524" s="7"/>
      <c r="E524" s="8"/>
      <c r="F524" s="9"/>
      <c r="H524" s="6"/>
      <c r="I524" s="6"/>
      <c r="J524" s="6"/>
    </row>
    <row r="525" spans="4:10" x14ac:dyDescent="0.2">
      <c r="D525" s="7"/>
      <c r="E525" s="8"/>
      <c r="F525" s="9"/>
      <c r="H525" s="6"/>
      <c r="I525" s="6"/>
      <c r="J525" s="6"/>
    </row>
    <row r="526" spans="4:10" x14ac:dyDescent="0.2">
      <c r="D526" s="7"/>
      <c r="E526" s="8"/>
      <c r="F526" s="9"/>
      <c r="H526" s="6"/>
      <c r="I526" s="6"/>
      <c r="J526" s="6"/>
    </row>
    <row r="527" spans="4:10" x14ac:dyDescent="0.2">
      <c r="D527" s="7"/>
      <c r="E527" s="8"/>
      <c r="F527" s="9"/>
      <c r="H527" s="6"/>
      <c r="I527" s="6"/>
      <c r="J527" s="6"/>
    </row>
    <row r="528" spans="4:10" x14ac:dyDescent="0.2">
      <c r="D528" s="7"/>
      <c r="E528" s="8"/>
      <c r="F528" s="9"/>
      <c r="H528" s="6"/>
      <c r="I528" s="6"/>
      <c r="J528" s="6"/>
    </row>
    <row r="529" spans="4:10" x14ac:dyDescent="0.2">
      <c r="D529" s="7"/>
      <c r="E529" s="8"/>
      <c r="F529" s="9"/>
      <c r="H529" s="6"/>
      <c r="I529" s="6"/>
      <c r="J529" s="6"/>
    </row>
    <row r="530" spans="4:10" x14ac:dyDescent="0.2">
      <c r="D530" s="7"/>
      <c r="E530" s="8"/>
      <c r="F530" s="9"/>
      <c r="H530" s="6"/>
      <c r="I530" s="6"/>
      <c r="J530" s="6"/>
    </row>
    <row r="531" spans="4:10" x14ac:dyDescent="0.2">
      <c r="D531" s="7"/>
      <c r="E531" s="8"/>
      <c r="F531" s="9"/>
      <c r="H531" s="6"/>
      <c r="I531" s="6"/>
      <c r="J531" s="6"/>
    </row>
    <row r="532" spans="4:10" x14ac:dyDescent="0.2">
      <c r="D532" s="7"/>
      <c r="E532" s="8"/>
      <c r="F532" s="9"/>
      <c r="H532" s="6"/>
      <c r="I532" s="6"/>
      <c r="J532" s="6"/>
    </row>
    <row r="533" spans="4:10" x14ac:dyDescent="0.2">
      <c r="D533" s="7"/>
      <c r="E533" s="8"/>
      <c r="F533" s="9"/>
      <c r="H533" s="6"/>
      <c r="I533" s="6"/>
      <c r="J533" s="6"/>
    </row>
    <row r="534" spans="4:10" x14ac:dyDescent="0.2">
      <c r="D534" s="7"/>
      <c r="E534" s="8"/>
      <c r="F534" s="9"/>
      <c r="H534" s="6"/>
      <c r="I534" s="6"/>
      <c r="J534" s="6"/>
    </row>
    <row r="535" spans="4:10" x14ac:dyDescent="0.2">
      <c r="D535" s="7"/>
      <c r="E535" s="8"/>
      <c r="F535" s="9"/>
      <c r="H535" s="6"/>
      <c r="I535" s="6"/>
      <c r="J535" s="6"/>
    </row>
    <row r="536" spans="4:10" x14ac:dyDescent="0.2">
      <c r="D536" s="7"/>
      <c r="E536" s="8"/>
      <c r="F536" s="9"/>
      <c r="H536" s="6"/>
      <c r="I536" s="6"/>
      <c r="J536" s="6"/>
    </row>
    <row r="537" spans="4:10" x14ac:dyDescent="0.2">
      <c r="D537" s="7"/>
      <c r="E537" s="8"/>
      <c r="F537" s="9"/>
      <c r="H537" s="6"/>
      <c r="I537" s="6"/>
      <c r="J537" s="6"/>
    </row>
    <row r="538" spans="4:10" x14ac:dyDescent="0.2">
      <c r="D538" s="7"/>
      <c r="E538" s="8"/>
      <c r="F538" s="9"/>
      <c r="H538" s="6"/>
      <c r="I538" s="6"/>
      <c r="J538" s="6"/>
    </row>
    <row r="539" spans="4:10" x14ac:dyDescent="0.2">
      <c r="D539" s="7"/>
      <c r="E539" s="8"/>
      <c r="F539" s="9"/>
      <c r="H539" s="6"/>
      <c r="I539" s="6"/>
      <c r="J539" s="6"/>
    </row>
    <row r="540" spans="4:10" x14ac:dyDescent="0.2">
      <c r="D540" s="7"/>
      <c r="E540" s="8"/>
      <c r="F540" s="9"/>
      <c r="H540" s="6"/>
      <c r="I540" s="6"/>
      <c r="J540" s="6"/>
    </row>
    <row r="541" spans="4:10" x14ac:dyDescent="0.2">
      <c r="D541" s="7"/>
      <c r="E541" s="8"/>
      <c r="F541" s="9"/>
      <c r="H541" s="6"/>
      <c r="I541" s="6"/>
      <c r="J541" s="6"/>
    </row>
    <row r="542" spans="4:10" x14ac:dyDescent="0.2">
      <c r="D542" s="7"/>
      <c r="E542" s="8"/>
      <c r="F542" s="9"/>
      <c r="H542" s="6"/>
      <c r="I542" s="6"/>
      <c r="J542" s="6"/>
    </row>
    <row r="543" spans="4:10" x14ac:dyDescent="0.2">
      <c r="D543" s="7"/>
      <c r="E543" s="8"/>
      <c r="F543" s="9"/>
      <c r="H543" s="6"/>
      <c r="I543" s="6"/>
      <c r="J543" s="6"/>
    </row>
    <row r="544" spans="4:10" x14ac:dyDescent="0.2">
      <c r="D544" s="7"/>
      <c r="E544" s="8"/>
      <c r="F544" s="9"/>
      <c r="H544" s="6"/>
      <c r="I544" s="6"/>
      <c r="J544" s="6"/>
    </row>
    <row r="545" spans="4:10" x14ac:dyDescent="0.2">
      <c r="D545" s="7"/>
      <c r="E545" s="8"/>
      <c r="F545" s="9"/>
      <c r="H545" s="6"/>
      <c r="I545" s="6"/>
      <c r="J545" s="6"/>
    </row>
    <row r="546" spans="4:10" x14ac:dyDescent="0.2">
      <c r="D546" s="7"/>
      <c r="E546" s="8"/>
      <c r="F546" s="9"/>
      <c r="H546" s="6"/>
      <c r="I546" s="6"/>
      <c r="J546" s="6"/>
    </row>
    <row r="547" spans="4:10" x14ac:dyDescent="0.2">
      <c r="D547" s="7"/>
      <c r="E547" s="8"/>
      <c r="F547" s="9"/>
      <c r="H547" s="6"/>
      <c r="I547" s="6"/>
      <c r="J547" s="6"/>
    </row>
    <row r="548" spans="4:10" x14ac:dyDescent="0.2">
      <c r="D548" s="7"/>
      <c r="E548" s="8"/>
      <c r="F548" s="9"/>
      <c r="H548" s="6"/>
      <c r="I548" s="6"/>
      <c r="J548" s="6"/>
    </row>
    <row r="549" spans="4:10" x14ac:dyDescent="0.2">
      <c r="D549" s="7"/>
      <c r="E549" s="8"/>
      <c r="F549" s="9"/>
      <c r="H549" s="6"/>
      <c r="I549" s="6"/>
      <c r="J549" s="6"/>
    </row>
    <row r="550" spans="4:10" x14ac:dyDescent="0.2">
      <c r="D550" s="7"/>
      <c r="E550" s="8"/>
      <c r="F550" s="9"/>
      <c r="H550" s="6"/>
      <c r="I550" s="6"/>
      <c r="J550" s="6"/>
    </row>
    <row r="551" spans="4:10" x14ac:dyDescent="0.2">
      <c r="D551" s="7"/>
      <c r="E551" s="8"/>
      <c r="F551" s="9"/>
      <c r="H551" s="6"/>
      <c r="I551" s="6"/>
      <c r="J551" s="6"/>
    </row>
    <row r="552" spans="4:10" x14ac:dyDescent="0.2">
      <c r="D552" s="7"/>
      <c r="E552" s="8"/>
      <c r="F552" s="9"/>
      <c r="H552" s="6"/>
      <c r="I552" s="6"/>
      <c r="J552" s="6"/>
    </row>
    <row r="553" spans="4:10" x14ac:dyDescent="0.2">
      <c r="D553" s="7"/>
      <c r="E553" s="8"/>
      <c r="F553" s="9"/>
      <c r="H553" s="6"/>
      <c r="I553" s="6"/>
      <c r="J553" s="6"/>
    </row>
    <row r="554" spans="4:10" x14ac:dyDescent="0.2">
      <c r="D554" s="7"/>
      <c r="E554" s="8"/>
      <c r="F554" s="9"/>
      <c r="H554" s="6"/>
      <c r="I554" s="6"/>
      <c r="J554" s="6"/>
    </row>
    <row r="555" spans="4:10" x14ac:dyDescent="0.2">
      <c r="D555" s="7"/>
      <c r="E555" s="8"/>
      <c r="F555" s="9"/>
      <c r="H555" s="6"/>
      <c r="I555" s="6"/>
      <c r="J555" s="6"/>
    </row>
    <row r="556" spans="4:10" x14ac:dyDescent="0.2">
      <c r="D556" s="7"/>
      <c r="E556" s="8"/>
      <c r="F556" s="9"/>
      <c r="H556" s="6"/>
      <c r="I556" s="6"/>
      <c r="J556" s="6"/>
    </row>
    <row r="557" spans="4:10" x14ac:dyDescent="0.2">
      <c r="D557" s="7"/>
      <c r="E557" s="8"/>
      <c r="F557" s="9"/>
      <c r="H557" s="6"/>
      <c r="I557" s="6"/>
      <c r="J557" s="6"/>
    </row>
    <row r="558" spans="4:10" x14ac:dyDescent="0.2">
      <c r="D558" s="7"/>
      <c r="E558" s="8"/>
      <c r="F558" s="9"/>
      <c r="H558" s="6"/>
      <c r="I558" s="6"/>
      <c r="J558" s="6"/>
    </row>
    <row r="559" spans="4:10" x14ac:dyDescent="0.2">
      <c r="D559" s="7"/>
      <c r="E559" s="8"/>
      <c r="F559" s="9"/>
      <c r="H559" s="6"/>
      <c r="I559" s="6"/>
      <c r="J559" s="6"/>
    </row>
    <row r="560" spans="4:10" x14ac:dyDescent="0.2">
      <c r="D560" s="7"/>
      <c r="E560" s="8"/>
      <c r="F560" s="9"/>
      <c r="H560" s="6"/>
      <c r="I560" s="6"/>
      <c r="J560" s="6"/>
    </row>
    <row r="561" spans="4:10" x14ac:dyDescent="0.2">
      <c r="D561" s="7"/>
      <c r="E561" s="8"/>
      <c r="F561" s="9"/>
      <c r="H561" s="6"/>
      <c r="I561" s="6"/>
      <c r="J561" s="6"/>
    </row>
    <row r="562" spans="4:10" x14ac:dyDescent="0.2">
      <c r="D562" s="7"/>
      <c r="E562" s="8"/>
      <c r="F562" s="9"/>
      <c r="H562" s="6"/>
      <c r="I562" s="6"/>
      <c r="J562" s="6"/>
    </row>
    <row r="563" spans="4:10" x14ac:dyDescent="0.2">
      <c r="D563" s="7"/>
      <c r="E563" s="8"/>
      <c r="F563" s="9"/>
      <c r="H563" s="6"/>
      <c r="I563" s="6"/>
      <c r="J563" s="6"/>
    </row>
    <row r="564" spans="4:10" x14ac:dyDescent="0.2">
      <c r="D564" s="7"/>
      <c r="E564" s="8"/>
      <c r="F564" s="9"/>
      <c r="H564" s="6"/>
      <c r="I564" s="6"/>
      <c r="J564" s="6"/>
    </row>
    <row r="565" spans="4:10" x14ac:dyDescent="0.2">
      <c r="D565" s="7"/>
      <c r="E565" s="8"/>
      <c r="F565" s="9"/>
      <c r="H565" s="6"/>
      <c r="I565" s="6"/>
      <c r="J565" s="6"/>
    </row>
    <row r="566" spans="4:10" x14ac:dyDescent="0.2">
      <c r="D566" s="7"/>
      <c r="E566" s="8"/>
      <c r="F566" s="9"/>
      <c r="H566" s="6"/>
      <c r="I566" s="6"/>
      <c r="J566" s="6"/>
    </row>
    <row r="567" spans="4:10" x14ac:dyDescent="0.2">
      <c r="D567" s="7"/>
      <c r="E567" s="8"/>
      <c r="F567" s="9"/>
      <c r="H567" s="6"/>
      <c r="I567" s="6"/>
      <c r="J567" s="6"/>
    </row>
    <row r="568" spans="4:10" x14ac:dyDescent="0.2">
      <c r="D568" s="7"/>
      <c r="E568" s="8"/>
      <c r="F568" s="9"/>
      <c r="H568" s="6"/>
      <c r="I568" s="6"/>
      <c r="J568" s="6"/>
    </row>
    <row r="569" spans="4:10" x14ac:dyDescent="0.2">
      <c r="D569" s="7"/>
      <c r="E569" s="8"/>
      <c r="F569" s="9"/>
      <c r="H569" s="6"/>
      <c r="I569" s="6"/>
      <c r="J569" s="6"/>
    </row>
    <row r="570" spans="4:10" x14ac:dyDescent="0.2">
      <c r="D570" s="7"/>
      <c r="E570" s="8"/>
      <c r="F570" s="9"/>
      <c r="H570" s="6"/>
      <c r="I570" s="6"/>
      <c r="J570" s="6"/>
    </row>
    <row r="571" spans="4:10" x14ac:dyDescent="0.2">
      <c r="D571" s="7"/>
      <c r="E571" s="8"/>
      <c r="F571" s="9"/>
      <c r="H571" s="6"/>
      <c r="I571" s="6"/>
      <c r="J571" s="6"/>
    </row>
    <row r="572" spans="4:10" x14ac:dyDescent="0.2">
      <c r="D572" s="7"/>
      <c r="E572" s="8"/>
      <c r="F572" s="9"/>
      <c r="H572" s="6"/>
      <c r="I572" s="6"/>
      <c r="J572" s="6"/>
    </row>
    <row r="573" spans="4:10" x14ac:dyDescent="0.2">
      <c r="D573" s="7"/>
      <c r="E573" s="8"/>
      <c r="F573" s="9"/>
      <c r="H573" s="6"/>
      <c r="I573" s="6"/>
      <c r="J573" s="6"/>
    </row>
    <row r="574" spans="4:10" x14ac:dyDescent="0.2">
      <c r="D574" s="7"/>
      <c r="E574" s="8"/>
      <c r="F574" s="9"/>
      <c r="H574" s="6"/>
      <c r="I574" s="6"/>
      <c r="J574" s="6"/>
    </row>
    <row r="575" spans="4:10" x14ac:dyDescent="0.2">
      <c r="D575" s="7"/>
      <c r="E575" s="8"/>
      <c r="F575" s="9"/>
      <c r="H575" s="6"/>
      <c r="I575" s="6"/>
      <c r="J575" s="6"/>
    </row>
    <row r="576" spans="4:10" x14ac:dyDescent="0.2">
      <c r="D576" s="7"/>
      <c r="E576" s="8"/>
      <c r="F576" s="9"/>
      <c r="H576" s="6"/>
      <c r="I576" s="6"/>
      <c r="J576" s="6"/>
    </row>
    <row r="577" spans="4:10" x14ac:dyDescent="0.2">
      <c r="D577" s="7"/>
      <c r="E577" s="8"/>
      <c r="F577" s="9"/>
      <c r="H577" s="6"/>
      <c r="I577" s="6"/>
      <c r="J577" s="6"/>
    </row>
    <row r="578" spans="4:10" x14ac:dyDescent="0.2">
      <c r="D578" s="7"/>
      <c r="E578" s="8"/>
      <c r="F578" s="9"/>
      <c r="H578" s="6"/>
      <c r="I578" s="6"/>
      <c r="J578" s="6"/>
    </row>
    <row r="579" spans="4:10" x14ac:dyDescent="0.2">
      <c r="D579" s="7"/>
      <c r="E579" s="8"/>
      <c r="F579" s="9"/>
      <c r="H579" s="6"/>
      <c r="I579" s="6"/>
      <c r="J579" s="6"/>
    </row>
    <row r="580" spans="4:10" x14ac:dyDescent="0.2">
      <c r="D580" s="7"/>
      <c r="E580" s="8"/>
      <c r="F580" s="9"/>
      <c r="H580" s="6"/>
      <c r="I580" s="6"/>
      <c r="J580" s="6"/>
    </row>
    <row r="581" spans="4:10" x14ac:dyDescent="0.2">
      <c r="D581" s="7"/>
      <c r="E581" s="8"/>
      <c r="F581" s="9"/>
      <c r="H581" s="6"/>
      <c r="I581" s="6"/>
      <c r="J581" s="6"/>
    </row>
    <row r="582" spans="4:10" x14ac:dyDescent="0.2">
      <c r="D582" s="7"/>
      <c r="E582" s="8"/>
      <c r="F582" s="9"/>
      <c r="H582" s="6"/>
      <c r="I582" s="6"/>
      <c r="J582" s="6"/>
    </row>
    <row r="583" spans="4:10" x14ac:dyDescent="0.2">
      <c r="D583" s="7"/>
      <c r="E583" s="8"/>
      <c r="F583" s="9"/>
      <c r="H583" s="6"/>
      <c r="I583" s="6"/>
      <c r="J583" s="6"/>
    </row>
    <row r="584" spans="4:10" x14ac:dyDescent="0.2">
      <c r="D584" s="7"/>
      <c r="E584" s="8"/>
      <c r="F584" s="9"/>
      <c r="H584" s="6"/>
      <c r="I584" s="6"/>
      <c r="J584" s="6"/>
    </row>
    <row r="585" spans="4:10" x14ac:dyDescent="0.2">
      <c r="D585" s="7"/>
      <c r="E585" s="8"/>
      <c r="F585" s="9"/>
      <c r="H585" s="6"/>
      <c r="I585" s="6"/>
      <c r="J585" s="6"/>
    </row>
    <row r="586" spans="4:10" x14ac:dyDescent="0.2">
      <c r="D586" s="7"/>
      <c r="E586" s="8"/>
      <c r="F586" s="9"/>
      <c r="H586" s="6"/>
      <c r="I586" s="6"/>
      <c r="J586" s="6"/>
    </row>
    <row r="587" spans="4:10" x14ac:dyDescent="0.2">
      <c r="D587" s="7"/>
      <c r="E587" s="8"/>
      <c r="F587" s="9"/>
      <c r="H587" s="6"/>
      <c r="I587" s="6"/>
      <c r="J587" s="6"/>
    </row>
    <row r="588" spans="4:10" x14ac:dyDescent="0.2">
      <c r="D588" s="7"/>
      <c r="E588" s="8"/>
      <c r="F588" s="9"/>
      <c r="H588" s="6"/>
      <c r="I588" s="6"/>
      <c r="J588" s="6"/>
    </row>
    <row r="589" spans="4:10" x14ac:dyDescent="0.2">
      <c r="D589" s="7"/>
      <c r="E589" s="8"/>
      <c r="F589" s="9"/>
      <c r="H589" s="6"/>
      <c r="I589" s="6"/>
      <c r="J589" s="6"/>
    </row>
    <row r="590" spans="4:10" x14ac:dyDescent="0.2">
      <c r="D590" s="7"/>
      <c r="E590" s="8"/>
      <c r="F590" s="9"/>
      <c r="H590" s="6"/>
      <c r="I590" s="6"/>
      <c r="J590" s="6"/>
    </row>
    <row r="591" spans="4:10" x14ac:dyDescent="0.2">
      <c r="D591" s="7"/>
      <c r="E591" s="8"/>
      <c r="F591" s="9"/>
      <c r="H591" s="6"/>
      <c r="I591" s="6"/>
      <c r="J591" s="6"/>
    </row>
    <row r="592" spans="4:10" x14ac:dyDescent="0.2">
      <c r="D592" s="7"/>
      <c r="E592" s="8"/>
      <c r="F592" s="9"/>
      <c r="H592" s="6"/>
      <c r="I592" s="6"/>
      <c r="J592" s="6"/>
    </row>
    <row r="593" spans="4:10" x14ac:dyDescent="0.2">
      <c r="D593" s="7"/>
      <c r="E593" s="8"/>
      <c r="F593" s="9"/>
      <c r="H593" s="6"/>
      <c r="I593" s="6"/>
      <c r="J593" s="6"/>
    </row>
    <row r="594" spans="4:10" x14ac:dyDescent="0.2">
      <c r="D594" s="7"/>
      <c r="E594" s="8"/>
      <c r="F594" s="9"/>
      <c r="H594" s="6"/>
      <c r="I594" s="6"/>
      <c r="J594" s="6"/>
    </row>
    <row r="595" spans="4:10" x14ac:dyDescent="0.2">
      <c r="D595" s="7"/>
      <c r="E595" s="8"/>
      <c r="F595" s="9"/>
      <c r="H595" s="6"/>
      <c r="I595" s="6"/>
      <c r="J595" s="6"/>
    </row>
    <row r="596" spans="4:10" x14ac:dyDescent="0.2">
      <c r="D596" s="7"/>
      <c r="E596" s="8"/>
      <c r="F596" s="9"/>
      <c r="H596" s="6"/>
      <c r="I596" s="6"/>
      <c r="J596" s="6"/>
    </row>
    <row r="597" spans="4:10" x14ac:dyDescent="0.2">
      <c r="D597" s="7"/>
      <c r="E597" s="8"/>
      <c r="F597" s="9"/>
      <c r="H597" s="6"/>
      <c r="I597" s="6"/>
      <c r="J597" s="6"/>
    </row>
    <row r="598" spans="4:10" x14ac:dyDescent="0.2">
      <c r="D598" s="7"/>
      <c r="E598" s="8"/>
      <c r="F598" s="9"/>
      <c r="H598" s="6"/>
      <c r="I598" s="6"/>
      <c r="J598" s="6"/>
    </row>
    <row r="599" spans="4:10" x14ac:dyDescent="0.2">
      <c r="D599" s="7"/>
      <c r="E599" s="8"/>
      <c r="F599" s="9"/>
      <c r="H599" s="6"/>
      <c r="I599" s="6"/>
      <c r="J599" s="6"/>
    </row>
    <row r="600" spans="4:10" x14ac:dyDescent="0.2">
      <c r="D600" s="7"/>
      <c r="E600" s="8"/>
      <c r="F600" s="9"/>
      <c r="H600" s="6"/>
      <c r="I600" s="6"/>
      <c r="J600" s="6"/>
    </row>
    <row r="601" spans="4:10" x14ac:dyDescent="0.2">
      <c r="D601" s="7"/>
      <c r="E601" s="8"/>
      <c r="F601" s="9"/>
      <c r="H601" s="6"/>
      <c r="I601" s="6"/>
      <c r="J601" s="6"/>
    </row>
    <row r="602" spans="4:10" x14ac:dyDescent="0.2">
      <c r="D602" s="7"/>
      <c r="E602" s="8"/>
      <c r="F602" s="9"/>
      <c r="H602" s="6"/>
      <c r="I602" s="6"/>
      <c r="J602" s="6"/>
    </row>
    <row r="603" spans="4:10" x14ac:dyDescent="0.2">
      <c r="D603" s="7"/>
      <c r="E603" s="8"/>
      <c r="F603" s="9"/>
      <c r="H603" s="6"/>
      <c r="I603" s="6"/>
      <c r="J603" s="6"/>
    </row>
    <row r="604" spans="4:10" x14ac:dyDescent="0.2">
      <c r="D604" s="7"/>
      <c r="E604" s="8"/>
      <c r="F604" s="9"/>
      <c r="H604" s="6"/>
      <c r="I604" s="6"/>
      <c r="J604" s="6"/>
    </row>
    <row r="605" spans="4:10" x14ac:dyDescent="0.2">
      <c r="D605" s="7"/>
      <c r="E605" s="8"/>
      <c r="F605" s="9"/>
      <c r="H605" s="6"/>
      <c r="I605" s="6"/>
      <c r="J605" s="6"/>
    </row>
    <row r="606" spans="4:10" x14ac:dyDescent="0.2">
      <c r="D606" s="7"/>
      <c r="E606" s="8"/>
      <c r="F606" s="9"/>
      <c r="H606" s="6"/>
      <c r="I606" s="6"/>
      <c r="J606" s="6"/>
    </row>
    <row r="607" spans="4:10" x14ac:dyDescent="0.2">
      <c r="D607" s="7"/>
      <c r="E607" s="8"/>
      <c r="F607" s="9"/>
      <c r="H607" s="6"/>
      <c r="I607" s="6"/>
      <c r="J607" s="6"/>
    </row>
    <row r="608" spans="4:10" x14ac:dyDescent="0.2">
      <c r="D608" s="7"/>
      <c r="E608" s="8"/>
      <c r="F608" s="9"/>
      <c r="H608" s="6"/>
      <c r="I608" s="6"/>
      <c r="J608" s="6"/>
    </row>
    <row r="609" spans="4:10" x14ac:dyDescent="0.2">
      <c r="D609" s="7"/>
      <c r="E609" s="8"/>
      <c r="F609" s="9"/>
      <c r="H609" s="6"/>
      <c r="I609" s="6"/>
      <c r="J609" s="6"/>
    </row>
    <row r="610" spans="4:10" x14ac:dyDescent="0.2">
      <c r="D610" s="7"/>
      <c r="E610" s="8"/>
      <c r="F610" s="9"/>
      <c r="H610" s="6"/>
      <c r="I610" s="6"/>
      <c r="J610" s="6"/>
    </row>
    <row r="611" spans="4:10" x14ac:dyDescent="0.2">
      <c r="D611" s="7"/>
      <c r="E611" s="8"/>
      <c r="F611" s="9"/>
      <c r="H611" s="6"/>
      <c r="I611" s="6"/>
      <c r="J611" s="6"/>
    </row>
    <row r="612" spans="4:10" x14ac:dyDescent="0.2">
      <c r="D612" s="7"/>
      <c r="E612" s="8"/>
      <c r="F612" s="9"/>
      <c r="H612" s="6"/>
      <c r="I612" s="6"/>
      <c r="J612" s="6"/>
    </row>
    <row r="613" spans="4:10" x14ac:dyDescent="0.2">
      <c r="D613" s="7"/>
      <c r="E613" s="8"/>
      <c r="F613" s="9"/>
      <c r="H613" s="6"/>
      <c r="I613" s="6"/>
      <c r="J613" s="6"/>
    </row>
    <row r="614" spans="4:10" x14ac:dyDescent="0.2">
      <c r="D614" s="7"/>
      <c r="E614" s="8"/>
      <c r="F614" s="9"/>
      <c r="H614" s="6"/>
      <c r="I614" s="6"/>
      <c r="J614" s="6"/>
    </row>
    <row r="615" spans="4:10" x14ac:dyDescent="0.2">
      <c r="D615" s="7"/>
      <c r="E615" s="8"/>
      <c r="F615" s="9"/>
      <c r="H615" s="6"/>
      <c r="I615" s="6"/>
      <c r="J615" s="6"/>
    </row>
    <row r="616" spans="4:10" x14ac:dyDescent="0.2">
      <c r="D616" s="7"/>
      <c r="E616" s="8"/>
      <c r="F616" s="9"/>
      <c r="H616" s="6"/>
      <c r="I616" s="6"/>
      <c r="J616" s="6"/>
    </row>
    <row r="617" spans="4:10" x14ac:dyDescent="0.2">
      <c r="D617" s="7"/>
      <c r="E617" s="8"/>
      <c r="F617" s="9"/>
      <c r="H617" s="6"/>
      <c r="I617" s="6"/>
      <c r="J617" s="6"/>
    </row>
    <row r="618" spans="4:10" x14ac:dyDescent="0.2">
      <c r="D618" s="7"/>
      <c r="E618" s="8"/>
      <c r="F618" s="9"/>
      <c r="H618" s="6"/>
      <c r="I618" s="6"/>
      <c r="J618" s="6"/>
    </row>
    <row r="619" spans="4:10" x14ac:dyDescent="0.2">
      <c r="D619" s="7"/>
      <c r="E619" s="8"/>
      <c r="F619" s="9"/>
      <c r="H619" s="6"/>
      <c r="I619" s="6"/>
      <c r="J619" s="6"/>
    </row>
    <row r="620" spans="4:10" x14ac:dyDescent="0.2">
      <c r="D620" s="7"/>
      <c r="E620" s="8"/>
      <c r="F620" s="9"/>
      <c r="H620" s="6"/>
      <c r="I620" s="6"/>
      <c r="J620" s="6"/>
    </row>
    <row r="621" spans="4:10" x14ac:dyDescent="0.2">
      <c r="D621" s="7"/>
      <c r="E621" s="8"/>
      <c r="F621" s="9"/>
      <c r="H621" s="6"/>
      <c r="I621" s="6"/>
      <c r="J621" s="6"/>
    </row>
    <row r="622" spans="4:10" x14ac:dyDescent="0.2">
      <c r="D622" s="7"/>
      <c r="E622" s="8"/>
      <c r="F622" s="9"/>
      <c r="H622" s="6"/>
      <c r="I622" s="6"/>
      <c r="J622" s="6"/>
    </row>
    <row r="623" spans="4:10" x14ac:dyDescent="0.2">
      <c r="D623" s="7"/>
      <c r="E623" s="8"/>
      <c r="F623" s="9"/>
      <c r="H623" s="6"/>
      <c r="I623" s="6"/>
      <c r="J623" s="6"/>
    </row>
    <row r="624" spans="4:10" x14ac:dyDescent="0.2">
      <c r="D624" s="7"/>
      <c r="E624" s="8"/>
      <c r="F624" s="9"/>
      <c r="H624" s="6"/>
      <c r="I624" s="6"/>
      <c r="J624" s="6"/>
    </row>
    <row r="625" spans="4:10" x14ac:dyDescent="0.2">
      <c r="D625" s="7"/>
      <c r="E625" s="8"/>
      <c r="F625" s="9"/>
      <c r="H625" s="6"/>
      <c r="I625" s="6"/>
      <c r="J625" s="6"/>
    </row>
    <row r="626" spans="4:10" x14ac:dyDescent="0.2">
      <c r="D626" s="7"/>
      <c r="E626" s="8"/>
      <c r="F626" s="9"/>
      <c r="H626" s="6"/>
      <c r="I626" s="6"/>
      <c r="J626" s="6"/>
    </row>
    <row r="627" spans="4:10" x14ac:dyDescent="0.2">
      <c r="D627" s="7"/>
      <c r="E627" s="8"/>
      <c r="F627" s="9"/>
      <c r="H627" s="6"/>
      <c r="I627" s="6"/>
      <c r="J627" s="6"/>
    </row>
    <row r="628" spans="4:10" x14ac:dyDescent="0.2">
      <c r="D628" s="7"/>
      <c r="E628" s="8"/>
      <c r="F628" s="9"/>
      <c r="H628" s="6"/>
      <c r="I628" s="6"/>
      <c r="J628" s="6"/>
    </row>
    <row r="629" spans="4:10" x14ac:dyDescent="0.2">
      <c r="D629" s="7"/>
      <c r="E629" s="8"/>
      <c r="F629" s="9"/>
      <c r="H629" s="6"/>
      <c r="I629" s="6"/>
      <c r="J629" s="6"/>
    </row>
    <row r="630" spans="4:10" x14ac:dyDescent="0.2">
      <c r="D630" s="7"/>
      <c r="E630" s="8"/>
      <c r="F630" s="9"/>
      <c r="H630" s="6"/>
      <c r="I630" s="6"/>
      <c r="J630" s="6"/>
    </row>
    <row r="631" spans="4:10" x14ac:dyDescent="0.2">
      <c r="D631" s="7"/>
      <c r="E631" s="8"/>
      <c r="F631" s="9"/>
      <c r="H631" s="6"/>
      <c r="I631" s="6"/>
      <c r="J631" s="6"/>
    </row>
    <row r="632" spans="4:10" x14ac:dyDescent="0.2">
      <c r="D632" s="7"/>
      <c r="E632" s="8"/>
      <c r="F632" s="9"/>
      <c r="H632" s="6"/>
      <c r="I632" s="6"/>
      <c r="J632" s="6"/>
    </row>
    <row r="633" spans="4:10" x14ac:dyDescent="0.2">
      <c r="D633" s="7"/>
      <c r="E633" s="8"/>
      <c r="F633" s="9"/>
      <c r="H633" s="6"/>
      <c r="I633" s="6"/>
      <c r="J633" s="6"/>
    </row>
    <row r="634" spans="4:10" x14ac:dyDescent="0.2">
      <c r="D634" s="7"/>
      <c r="E634" s="8"/>
      <c r="F634" s="9"/>
      <c r="H634" s="6"/>
      <c r="I634" s="6"/>
      <c r="J634" s="6"/>
    </row>
    <row r="635" spans="4:10" x14ac:dyDescent="0.2">
      <c r="D635" s="7"/>
      <c r="E635" s="8"/>
      <c r="F635" s="9"/>
      <c r="H635" s="6"/>
      <c r="I635" s="6"/>
      <c r="J635" s="6"/>
    </row>
    <row r="636" spans="4:10" x14ac:dyDescent="0.2">
      <c r="D636" s="7"/>
      <c r="E636" s="8"/>
      <c r="F636" s="9"/>
      <c r="H636" s="6"/>
      <c r="I636" s="6"/>
      <c r="J636" s="6"/>
    </row>
    <row r="637" spans="4:10" x14ac:dyDescent="0.2">
      <c r="D637" s="7"/>
      <c r="E637" s="8"/>
      <c r="F637" s="9"/>
      <c r="H637" s="6"/>
      <c r="I637" s="6"/>
      <c r="J637" s="6"/>
    </row>
    <row r="638" spans="4:10" x14ac:dyDescent="0.2">
      <c r="D638" s="7"/>
      <c r="E638" s="8"/>
      <c r="F638" s="9"/>
      <c r="H638" s="6"/>
      <c r="I638" s="6"/>
      <c r="J638" s="6"/>
    </row>
    <row r="639" spans="4:10" x14ac:dyDescent="0.2">
      <c r="D639" s="7"/>
      <c r="E639" s="8"/>
      <c r="F639" s="9"/>
      <c r="H639" s="6"/>
      <c r="I639" s="6"/>
      <c r="J639" s="6"/>
    </row>
    <row r="640" spans="4:10" x14ac:dyDescent="0.2">
      <c r="D640" s="7"/>
      <c r="E640" s="8"/>
      <c r="F640" s="9"/>
      <c r="H640" s="6"/>
      <c r="I640" s="6"/>
      <c r="J640" s="6"/>
    </row>
    <row r="641" spans="4:10" x14ac:dyDescent="0.2">
      <c r="D641" s="7"/>
      <c r="E641" s="8"/>
      <c r="F641" s="9"/>
      <c r="H641" s="6"/>
      <c r="I641" s="6"/>
      <c r="J641" s="6"/>
    </row>
    <row r="642" spans="4:10" x14ac:dyDescent="0.2">
      <c r="D642" s="7"/>
      <c r="E642" s="8"/>
      <c r="F642" s="9"/>
      <c r="H642" s="6"/>
      <c r="I642" s="6"/>
      <c r="J642" s="6"/>
    </row>
    <row r="643" spans="4:10" x14ac:dyDescent="0.2">
      <c r="D643" s="7"/>
      <c r="E643" s="8"/>
      <c r="F643" s="9"/>
      <c r="H643" s="6"/>
      <c r="I643" s="6"/>
      <c r="J643" s="6"/>
    </row>
    <row r="644" spans="4:10" x14ac:dyDescent="0.2">
      <c r="D644" s="7"/>
      <c r="E644" s="8"/>
      <c r="F644" s="9"/>
      <c r="H644" s="6"/>
      <c r="I644" s="6"/>
      <c r="J644" s="6"/>
    </row>
    <row r="645" spans="4:10" x14ac:dyDescent="0.2">
      <c r="D645" s="7"/>
      <c r="E645" s="8"/>
      <c r="F645" s="9"/>
      <c r="H645" s="6"/>
      <c r="I645" s="6"/>
      <c r="J645" s="6"/>
    </row>
    <row r="646" spans="4:10" x14ac:dyDescent="0.2">
      <c r="D646" s="7"/>
      <c r="E646" s="8"/>
      <c r="F646" s="9"/>
      <c r="H646" s="6"/>
      <c r="I646" s="6"/>
      <c r="J646" s="6"/>
    </row>
    <row r="647" spans="4:10" x14ac:dyDescent="0.2">
      <c r="D647" s="7"/>
      <c r="E647" s="8"/>
      <c r="F647" s="9"/>
      <c r="H647" s="6"/>
      <c r="I647" s="6"/>
      <c r="J647" s="6"/>
    </row>
    <row r="648" spans="4:10" x14ac:dyDescent="0.2">
      <c r="D648" s="7"/>
      <c r="E648" s="8"/>
      <c r="F648" s="9"/>
      <c r="H648" s="6"/>
      <c r="I648" s="6"/>
      <c r="J648" s="6"/>
    </row>
    <row r="649" spans="4:10" x14ac:dyDescent="0.2">
      <c r="D649" s="7"/>
      <c r="E649" s="8"/>
      <c r="F649" s="9"/>
      <c r="H649" s="6"/>
      <c r="I649" s="6"/>
      <c r="J649" s="6"/>
    </row>
    <row r="650" spans="4:10" x14ac:dyDescent="0.2">
      <c r="D650" s="7"/>
      <c r="E650" s="8"/>
      <c r="F650" s="9"/>
      <c r="H650" s="6"/>
      <c r="I650" s="6"/>
      <c r="J650" s="6"/>
    </row>
    <row r="651" spans="4:10" x14ac:dyDescent="0.2">
      <c r="D651" s="7"/>
      <c r="E651" s="8"/>
      <c r="F651" s="9"/>
      <c r="H651" s="6"/>
      <c r="I651" s="6"/>
      <c r="J651" s="6"/>
    </row>
    <row r="652" spans="4:10" x14ac:dyDescent="0.2">
      <c r="D652" s="7"/>
      <c r="E652" s="8"/>
      <c r="F652" s="9"/>
      <c r="H652" s="6"/>
      <c r="I652" s="6"/>
      <c r="J652" s="6"/>
    </row>
    <row r="653" spans="4:10" x14ac:dyDescent="0.2">
      <c r="D653" s="7"/>
      <c r="E653" s="8"/>
      <c r="F653" s="9"/>
      <c r="H653" s="6"/>
      <c r="I653" s="6"/>
      <c r="J653" s="6"/>
    </row>
    <row r="654" spans="4:10" x14ac:dyDescent="0.2">
      <c r="D654" s="7"/>
      <c r="E654" s="8"/>
      <c r="F654" s="9"/>
      <c r="H654" s="6"/>
      <c r="I654" s="6"/>
      <c r="J654" s="6"/>
    </row>
    <row r="655" spans="4:10" x14ac:dyDescent="0.2">
      <c r="D655" s="7"/>
      <c r="E655" s="8"/>
      <c r="F655" s="9"/>
      <c r="H655" s="6"/>
      <c r="I655" s="6"/>
      <c r="J655" s="6"/>
    </row>
    <row r="656" spans="4:10" x14ac:dyDescent="0.2">
      <c r="D656" s="7"/>
      <c r="E656" s="8"/>
      <c r="F656" s="9"/>
      <c r="H656" s="6"/>
      <c r="I656" s="6"/>
      <c r="J656" s="6"/>
    </row>
    <row r="657" spans="4:10" x14ac:dyDescent="0.2">
      <c r="D657" s="7"/>
      <c r="E657" s="8"/>
      <c r="F657" s="9"/>
      <c r="H657" s="6"/>
      <c r="I657" s="6"/>
      <c r="J657" s="6"/>
    </row>
    <row r="658" spans="4:10" x14ac:dyDescent="0.2">
      <c r="D658" s="7"/>
      <c r="E658" s="8"/>
      <c r="F658" s="9"/>
      <c r="H658" s="6"/>
      <c r="I658" s="6"/>
      <c r="J658" s="6"/>
    </row>
    <row r="659" spans="4:10" x14ac:dyDescent="0.2">
      <c r="D659" s="7"/>
      <c r="E659" s="8"/>
      <c r="F659" s="9"/>
      <c r="H659" s="6"/>
      <c r="I659" s="6"/>
      <c r="J659" s="6"/>
    </row>
    <row r="660" spans="4:10" x14ac:dyDescent="0.2">
      <c r="D660" s="7"/>
      <c r="E660" s="8"/>
      <c r="F660" s="9"/>
      <c r="H660" s="6"/>
      <c r="I660" s="6"/>
      <c r="J660" s="6"/>
    </row>
    <row r="661" spans="4:10" x14ac:dyDescent="0.2">
      <c r="D661" s="7"/>
      <c r="E661" s="8"/>
      <c r="F661" s="9"/>
      <c r="H661" s="6"/>
      <c r="I661" s="6"/>
      <c r="J661" s="6"/>
    </row>
    <row r="662" spans="4:10" x14ac:dyDescent="0.2">
      <c r="D662" s="7"/>
      <c r="E662" s="8"/>
      <c r="F662" s="9"/>
      <c r="H662" s="6"/>
      <c r="I662" s="6"/>
      <c r="J662" s="6"/>
    </row>
    <row r="663" spans="4:10" x14ac:dyDescent="0.2">
      <c r="D663" s="7"/>
      <c r="E663" s="8"/>
      <c r="F663" s="9"/>
      <c r="H663" s="6"/>
      <c r="I663" s="6"/>
      <c r="J663" s="6"/>
    </row>
    <row r="664" spans="4:10" x14ac:dyDescent="0.2">
      <c r="D664" s="7"/>
      <c r="E664" s="8"/>
      <c r="F664" s="9"/>
      <c r="H664" s="6"/>
      <c r="I664" s="6"/>
      <c r="J664" s="6"/>
    </row>
    <row r="665" spans="4:10" x14ac:dyDescent="0.2">
      <c r="D665" s="7"/>
      <c r="E665" s="8"/>
      <c r="F665" s="9"/>
      <c r="H665" s="6"/>
      <c r="I665" s="6"/>
      <c r="J665" s="6"/>
    </row>
    <row r="666" spans="4:10" x14ac:dyDescent="0.2">
      <c r="D666" s="7"/>
      <c r="E666" s="8"/>
      <c r="F666" s="9"/>
      <c r="H666" s="6"/>
      <c r="I666" s="6"/>
      <c r="J666" s="6"/>
    </row>
    <row r="667" spans="4:10" x14ac:dyDescent="0.2">
      <c r="D667" s="7"/>
      <c r="E667" s="8"/>
      <c r="F667" s="9"/>
      <c r="H667" s="6"/>
      <c r="I667" s="6"/>
      <c r="J667" s="6"/>
    </row>
    <row r="668" spans="4:10" x14ac:dyDescent="0.2">
      <c r="D668" s="7"/>
      <c r="E668" s="8"/>
      <c r="F668" s="9"/>
      <c r="H668" s="6"/>
      <c r="I668" s="6"/>
      <c r="J668" s="6"/>
    </row>
    <row r="669" spans="4:10" x14ac:dyDescent="0.2">
      <c r="D669" s="7"/>
      <c r="E669" s="8"/>
      <c r="F669" s="9"/>
      <c r="H669" s="6"/>
      <c r="I669" s="6"/>
      <c r="J669" s="6"/>
    </row>
    <row r="670" spans="4:10" x14ac:dyDescent="0.2">
      <c r="D670" s="7"/>
      <c r="E670" s="8"/>
      <c r="F670" s="9"/>
      <c r="H670" s="6"/>
      <c r="I670" s="6"/>
      <c r="J670" s="6"/>
    </row>
    <row r="671" spans="4:10" x14ac:dyDescent="0.2">
      <c r="D671" s="7"/>
      <c r="E671" s="8"/>
      <c r="F671" s="9"/>
      <c r="H671" s="6"/>
      <c r="I671" s="6"/>
      <c r="J671" s="6"/>
    </row>
    <row r="672" spans="4:10" x14ac:dyDescent="0.2">
      <c r="D672" s="7"/>
      <c r="E672" s="8"/>
      <c r="F672" s="9"/>
      <c r="H672" s="6"/>
      <c r="I672" s="6"/>
      <c r="J672" s="6"/>
    </row>
    <row r="673" spans="4:10" x14ac:dyDescent="0.2">
      <c r="D673" s="7"/>
      <c r="E673" s="8"/>
      <c r="F673" s="9"/>
      <c r="H673" s="6"/>
      <c r="I673" s="6"/>
      <c r="J673" s="6"/>
    </row>
    <row r="674" spans="4:10" x14ac:dyDescent="0.2">
      <c r="D674" s="7"/>
      <c r="E674" s="8"/>
      <c r="F674" s="9"/>
      <c r="H674" s="6"/>
      <c r="I674" s="6"/>
      <c r="J674" s="6"/>
    </row>
    <row r="675" spans="4:10" x14ac:dyDescent="0.2">
      <c r="D675" s="7"/>
      <c r="E675" s="8"/>
      <c r="F675" s="9"/>
      <c r="H675" s="6"/>
      <c r="I675" s="6"/>
      <c r="J675" s="6"/>
    </row>
    <row r="676" spans="4:10" x14ac:dyDescent="0.2">
      <c r="D676" s="7"/>
      <c r="E676" s="8"/>
      <c r="F676" s="9"/>
      <c r="H676" s="6"/>
      <c r="I676" s="6"/>
      <c r="J676" s="6"/>
    </row>
    <row r="677" spans="4:10" x14ac:dyDescent="0.2">
      <c r="D677" s="7"/>
      <c r="E677" s="8"/>
      <c r="F677" s="9"/>
      <c r="H677" s="6"/>
      <c r="I677" s="6"/>
      <c r="J677" s="6"/>
    </row>
    <row r="678" spans="4:10" x14ac:dyDescent="0.2">
      <c r="D678" s="7"/>
      <c r="E678" s="8"/>
      <c r="F678" s="9"/>
      <c r="H678" s="6"/>
      <c r="I678" s="6"/>
      <c r="J678" s="6"/>
    </row>
    <row r="679" spans="4:10" x14ac:dyDescent="0.2">
      <c r="D679" s="7"/>
      <c r="E679" s="8"/>
      <c r="F679" s="9"/>
      <c r="H679" s="6"/>
      <c r="I679" s="6"/>
      <c r="J679" s="6"/>
    </row>
    <row r="680" spans="4:10" x14ac:dyDescent="0.2">
      <c r="D680" s="7"/>
      <c r="E680" s="8"/>
      <c r="F680" s="9"/>
      <c r="H680" s="6"/>
      <c r="I680" s="6"/>
      <c r="J680" s="6"/>
    </row>
    <row r="681" spans="4:10" x14ac:dyDescent="0.2">
      <c r="D681" s="7"/>
      <c r="E681" s="8"/>
      <c r="F681" s="9"/>
      <c r="H681" s="6"/>
      <c r="I681" s="6"/>
      <c r="J681" s="6"/>
    </row>
    <row r="682" spans="4:10" x14ac:dyDescent="0.2">
      <c r="D682" s="7"/>
      <c r="E682" s="8"/>
      <c r="F682" s="9"/>
      <c r="H682" s="6"/>
      <c r="I682" s="6"/>
      <c r="J682" s="6"/>
    </row>
    <row r="683" spans="4:10" x14ac:dyDescent="0.2">
      <c r="D683" s="7"/>
      <c r="E683" s="8"/>
      <c r="F683" s="9"/>
      <c r="H683" s="6"/>
      <c r="I683" s="6"/>
      <c r="J683" s="6"/>
    </row>
    <row r="684" spans="4:10" x14ac:dyDescent="0.2">
      <c r="D684" s="7"/>
      <c r="E684" s="8"/>
      <c r="F684" s="9"/>
      <c r="H684" s="6"/>
      <c r="I684" s="6"/>
      <c r="J684" s="6"/>
    </row>
    <row r="685" spans="4:10" x14ac:dyDescent="0.2">
      <c r="D685" s="7"/>
      <c r="E685" s="8"/>
      <c r="F685" s="9"/>
      <c r="H685" s="6"/>
      <c r="I685" s="6"/>
      <c r="J685" s="6"/>
    </row>
    <row r="686" spans="4:10" x14ac:dyDescent="0.2">
      <c r="D686" s="7"/>
      <c r="E686" s="8"/>
      <c r="F686" s="9"/>
      <c r="H686" s="6"/>
      <c r="I686" s="6"/>
      <c r="J686" s="6"/>
    </row>
    <row r="687" spans="4:10" x14ac:dyDescent="0.2">
      <c r="D687" s="7"/>
      <c r="E687" s="8"/>
      <c r="F687" s="9"/>
      <c r="H687" s="6"/>
      <c r="I687" s="6"/>
      <c r="J687" s="6"/>
    </row>
    <row r="688" spans="4:10" x14ac:dyDescent="0.2">
      <c r="D688" s="7"/>
      <c r="E688" s="8"/>
      <c r="F688" s="9"/>
      <c r="H688" s="6"/>
      <c r="I688" s="6"/>
      <c r="J688" s="6"/>
    </row>
    <row r="689" spans="4:10" x14ac:dyDescent="0.2">
      <c r="D689" s="7"/>
      <c r="E689" s="8"/>
      <c r="F689" s="9"/>
      <c r="H689" s="6"/>
      <c r="I689" s="6"/>
      <c r="J689" s="6"/>
    </row>
    <row r="690" spans="4:10" x14ac:dyDescent="0.2">
      <c r="D690" s="7"/>
      <c r="E690" s="8"/>
      <c r="F690" s="9"/>
      <c r="H690" s="6"/>
      <c r="I690" s="6"/>
      <c r="J690" s="6"/>
    </row>
    <row r="691" spans="4:10" x14ac:dyDescent="0.2">
      <c r="D691" s="7"/>
      <c r="E691" s="8"/>
      <c r="F691" s="9"/>
      <c r="H691" s="6"/>
      <c r="I691" s="6"/>
      <c r="J691" s="6"/>
    </row>
    <row r="692" spans="4:10" x14ac:dyDescent="0.2">
      <c r="D692" s="7"/>
      <c r="E692" s="8"/>
      <c r="F692" s="9"/>
      <c r="H692" s="6"/>
      <c r="I692" s="6"/>
      <c r="J692" s="6"/>
    </row>
    <row r="693" spans="4:10" x14ac:dyDescent="0.2">
      <c r="D693" s="7"/>
      <c r="E693" s="8"/>
      <c r="F693" s="9"/>
      <c r="H693" s="6"/>
      <c r="I693" s="6"/>
      <c r="J693" s="6"/>
    </row>
    <row r="694" spans="4:10" x14ac:dyDescent="0.2">
      <c r="D694" s="7"/>
      <c r="E694" s="8"/>
      <c r="F694" s="9"/>
      <c r="H694" s="6"/>
      <c r="I694" s="6"/>
      <c r="J694" s="6"/>
    </row>
    <row r="695" spans="4:10" x14ac:dyDescent="0.2">
      <c r="D695" s="7"/>
      <c r="E695" s="8"/>
      <c r="F695" s="9"/>
      <c r="H695" s="6"/>
      <c r="I695" s="6"/>
      <c r="J695" s="6"/>
    </row>
    <row r="696" spans="4:10" x14ac:dyDescent="0.2">
      <c r="D696" s="7"/>
      <c r="E696" s="8"/>
      <c r="F696" s="9"/>
      <c r="H696" s="6"/>
      <c r="I696" s="6"/>
      <c r="J696" s="6"/>
    </row>
    <row r="697" spans="4:10" x14ac:dyDescent="0.2">
      <c r="D697" s="7"/>
      <c r="E697" s="8"/>
      <c r="F697" s="9"/>
      <c r="H697" s="6"/>
      <c r="I697" s="6"/>
      <c r="J697" s="6"/>
    </row>
    <row r="698" spans="4:10" x14ac:dyDescent="0.2">
      <c r="D698" s="7"/>
      <c r="E698" s="8"/>
      <c r="F698" s="9"/>
      <c r="H698" s="6"/>
      <c r="I698" s="6"/>
      <c r="J698" s="6"/>
    </row>
    <row r="699" spans="4:10" x14ac:dyDescent="0.2">
      <c r="D699" s="7"/>
      <c r="E699" s="8"/>
      <c r="F699" s="9"/>
      <c r="H699" s="6"/>
      <c r="I699" s="6"/>
      <c r="J699" s="6"/>
    </row>
    <row r="700" spans="4:10" x14ac:dyDescent="0.2">
      <c r="D700" s="7"/>
      <c r="E700" s="8"/>
      <c r="F700" s="9"/>
      <c r="H700" s="6"/>
      <c r="I700" s="6"/>
      <c r="J700" s="6"/>
    </row>
    <row r="701" spans="4:10" x14ac:dyDescent="0.2">
      <c r="D701" s="7"/>
      <c r="E701" s="8"/>
      <c r="F701" s="9"/>
      <c r="H701" s="6"/>
      <c r="I701" s="6"/>
      <c r="J701" s="6"/>
    </row>
    <row r="702" spans="4:10" x14ac:dyDescent="0.2">
      <c r="D702" s="7"/>
      <c r="E702" s="8"/>
      <c r="F702" s="9"/>
      <c r="H702" s="6"/>
      <c r="I702" s="6"/>
      <c r="J702" s="6"/>
    </row>
    <row r="703" spans="4:10" x14ac:dyDescent="0.2">
      <c r="D703" s="7"/>
      <c r="E703" s="8"/>
      <c r="F703" s="9"/>
      <c r="H703" s="6"/>
      <c r="I703" s="6"/>
      <c r="J703" s="6"/>
    </row>
    <row r="704" spans="4:10" x14ac:dyDescent="0.2">
      <c r="D704" s="7"/>
      <c r="E704" s="8"/>
      <c r="F704" s="9"/>
      <c r="H704" s="6"/>
      <c r="I704" s="6"/>
      <c r="J704" s="6"/>
    </row>
    <row r="705" spans="4:10" x14ac:dyDescent="0.2">
      <c r="D705" s="7"/>
      <c r="E705" s="8"/>
      <c r="F705" s="9"/>
      <c r="H705" s="6"/>
      <c r="I705" s="6"/>
      <c r="J705" s="6"/>
    </row>
    <row r="706" spans="4:10" x14ac:dyDescent="0.2">
      <c r="D706" s="7"/>
      <c r="E706" s="8"/>
      <c r="F706" s="9"/>
      <c r="H706" s="6"/>
      <c r="I706" s="6"/>
      <c r="J706" s="6"/>
    </row>
    <row r="707" spans="4:10" x14ac:dyDescent="0.2">
      <c r="D707" s="7"/>
      <c r="E707" s="8"/>
      <c r="F707" s="9"/>
      <c r="H707" s="6"/>
      <c r="I707" s="6"/>
      <c r="J707" s="6"/>
    </row>
    <row r="708" spans="4:10" x14ac:dyDescent="0.2">
      <c r="D708" s="7"/>
      <c r="E708" s="8"/>
      <c r="F708" s="9"/>
      <c r="H708" s="6"/>
      <c r="I708" s="6"/>
      <c r="J708" s="6"/>
    </row>
    <row r="709" spans="4:10" x14ac:dyDescent="0.2">
      <c r="D709" s="7"/>
      <c r="E709" s="8"/>
      <c r="F709" s="9"/>
      <c r="H709" s="6"/>
      <c r="I709" s="6"/>
      <c r="J709" s="6"/>
    </row>
    <row r="710" spans="4:10" x14ac:dyDescent="0.2">
      <c r="D710" s="7"/>
      <c r="E710" s="8"/>
      <c r="F710" s="9"/>
      <c r="H710" s="6"/>
      <c r="I710" s="6"/>
      <c r="J710" s="6"/>
    </row>
    <row r="711" spans="4:10" x14ac:dyDescent="0.2">
      <c r="D711" s="7"/>
      <c r="E711" s="8"/>
      <c r="F711" s="9"/>
      <c r="H711" s="6"/>
      <c r="I711" s="6"/>
      <c r="J711" s="6"/>
    </row>
    <row r="712" spans="4:10" x14ac:dyDescent="0.2">
      <c r="D712" s="7"/>
      <c r="E712" s="8"/>
      <c r="F712" s="9"/>
      <c r="H712" s="6"/>
      <c r="I712" s="6"/>
      <c r="J712" s="6"/>
    </row>
    <row r="713" spans="4:10" x14ac:dyDescent="0.2">
      <c r="D713" s="7"/>
      <c r="E713" s="8"/>
      <c r="F713" s="9"/>
      <c r="H713" s="6"/>
      <c r="I713" s="6"/>
      <c r="J713" s="6"/>
    </row>
    <row r="714" spans="4:10" x14ac:dyDescent="0.2">
      <c r="D714" s="7"/>
      <c r="E714" s="8"/>
      <c r="F714" s="9"/>
      <c r="H714" s="6"/>
      <c r="I714" s="6"/>
      <c r="J714" s="6"/>
    </row>
    <row r="715" spans="4:10" x14ac:dyDescent="0.2">
      <c r="D715" s="7"/>
      <c r="E715" s="8"/>
      <c r="F715" s="9"/>
      <c r="H715" s="6"/>
      <c r="I715" s="6"/>
      <c r="J715" s="6"/>
    </row>
    <row r="716" spans="4:10" x14ac:dyDescent="0.2">
      <c r="D716" s="7"/>
      <c r="E716" s="8"/>
      <c r="F716" s="9"/>
      <c r="H716" s="6"/>
      <c r="I716" s="6"/>
      <c r="J716" s="6"/>
    </row>
    <row r="717" spans="4:10" x14ac:dyDescent="0.2">
      <c r="D717" s="7"/>
      <c r="E717" s="8"/>
      <c r="F717" s="9"/>
      <c r="H717" s="6"/>
      <c r="I717" s="6"/>
      <c r="J717" s="6"/>
    </row>
    <row r="718" spans="4:10" x14ac:dyDescent="0.2">
      <c r="D718" s="7"/>
      <c r="E718" s="8"/>
      <c r="F718" s="9"/>
      <c r="H718" s="6"/>
      <c r="I718" s="6"/>
      <c r="J718" s="6"/>
    </row>
    <row r="719" spans="4:10" x14ac:dyDescent="0.2">
      <c r="D719" s="7"/>
      <c r="E719" s="8"/>
      <c r="F719" s="9"/>
      <c r="H719" s="6"/>
      <c r="I719" s="6"/>
      <c r="J719" s="6"/>
    </row>
    <row r="720" spans="4:10" x14ac:dyDescent="0.2">
      <c r="D720" s="7"/>
      <c r="E720" s="8"/>
      <c r="F720" s="9"/>
      <c r="H720" s="6"/>
      <c r="I720" s="6"/>
      <c r="J720" s="6"/>
    </row>
    <row r="721" spans="4:10" x14ac:dyDescent="0.2">
      <c r="D721" s="7"/>
      <c r="E721" s="8"/>
      <c r="F721" s="9"/>
      <c r="H721" s="6"/>
      <c r="I721" s="6"/>
      <c r="J721" s="6"/>
    </row>
    <row r="722" spans="4:10" x14ac:dyDescent="0.2">
      <c r="D722" s="7"/>
      <c r="E722" s="8"/>
      <c r="F722" s="9"/>
      <c r="H722" s="6"/>
      <c r="I722" s="6"/>
      <c r="J722" s="6"/>
    </row>
    <row r="723" spans="4:10" x14ac:dyDescent="0.2">
      <c r="D723" s="7"/>
      <c r="E723" s="8"/>
      <c r="F723" s="9"/>
      <c r="H723" s="6"/>
      <c r="I723" s="6"/>
      <c r="J723" s="6"/>
    </row>
    <row r="724" spans="4:10" x14ac:dyDescent="0.2">
      <c r="D724" s="7"/>
      <c r="E724" s="8"/>
      <c r="F724" s="9"/>
      <c r="H724" s="6"/>
      <c r="I724" s="6"/>
      <c r="J724" s="6"/>
    </row>
    <row r="725" spans="4:10" x14ac:dyDescent="0.2">
      <c r="D725" s="7"/>
      <c r="E725" s="8"/>
      <c r="F725" s="9"/>
      <c r="H725" s="6"/>
      <c r="I725" s="6"/>
      <c r="J725" s="6"/>
    </row>
    <row r="726" spans="4:10" x14ac:dyDescent="0.2">
      <c r="D726" s="7"/>
      <c r="E726" s="8"/>
      <c r="F726" s="9"/>
      <c r="H726" s="6"/>
      <c r="I726" s="6"/>
      <c r="J726" s="6"/>
    </row>
    <row r="727" spans="4:10" x14ac:dyDescent="0.2">
      <c r="D727" s="7"/>
      <c r="E727" s="8"/>
      <c r="F727" s="9"/>
      <c r="H727" s="6"/>
      <c r="I727" s="6"/>
      <c r="J727" s="6"/>
    </row>
    <row r="728" spans="4:10" x14ac:dyDescent="0.2">
      <c r="D728" s="7"/>
      <c r="E728" s="8"/>
      <c r="F728" s="9"/>
      <c r="H728" s="6"/>
      <c r="I728" s="6"/>
      <c r="J728" s="6"/>
    </row>
    <row r="729" spans="4:10" x14ac:dyDescent="0.2">
      <c r="D729" s="7"/>
      <c r="E729" s="8"/>
      <c r="F729" s="9"/>
      <c r="H729" s="6"/>
      <c r="I729" s="6"/>
      <c r="J729" s="6"/>
    </row>
    <row r="730" spans="4:10" x14ac:dyDescent="0.2">
      <c r="D730" s="7"/>
      <c r="E730" s="8"/>
      <c r="F730" s="9"/>
      <c r="H730" s="6"/>
      <c r="I730" s="6"/>
      <c r="J730" s="6"/>
    </row>
    <row r="731" spans="4:10" x14ac:dyDescent="0.2">
      <c r="D731" s="7"/>
      <c r="E731" s="8"/>
      <c r="F731" s="9"/>
      <c r="H731" s="6"/>
      <c r="I731" s="6"/>
      <c r="J731" s="6"/>
    </row>
    <row r="732" spans="4:10" x14ac:dyDescent="0.2">
      <c r="D732" s="7"/>
      <c r="E732" s="8"/>
      <c r="F732" s="9"/>
      <c r="H732" s="6"/>
      <c r="I732" s="6"/>
      <c r="J732" s="6"/>
    </row>
    <row r="733" spans="4:10" x14ac:dyDescent="0.2">
      <c r="D733" s="7"/>
      <c r="E733" s="8"/>
      <c r="F733" s="9"/>
      <c r="H733" s="6"/>
      <c r="I733" s="6"/>
      <c r="J733" s="6"/>
    </row>
    <row r="734" spans="4:10" x14ac:dyDescent="0.2">
      <c r="D734" s="7"/>
      <c r="E734" s="8"/>
      <c r="F734" s="9"/>
      <c r="H734" s="6"/>
      <c r="I734" s="6"/>
      <c r="J734" s="6"/>
    </row>
    <row r="735" spans="4:10" x14ac:dyDescent="0.2">
      <c r="D735" s="7"/>
      <c r="E735" s="8"/>
      <c r="F735" s="9"/>
      <c r="H735" s="6"/>
      <c r="I735" s="6"/>
      <c r="J735" s="6"/>
    </row>
    <row r="736" spans="4:10" x14ac:dyDescent="0.2">
      <c r="D736" s="7"/>
      <c r="E736" s="8"/>
      <c r="F736" s="9"/>
      <c r="H736" s="6"/>
      <c r="I736" s="6"/>
      <c r="J736" s="6"/>
    </row>
    <row r="737" spans="4:10" x14ac:dyDescent="0.2">
      <c r="D737" s="7"/>
      <c r="E737" s="8"/>
      <c r="F737" s="9"/>
      <c r="H737" s="6"/>
      <c r="I737" s="6"/>
      <c r="J737" s="6"/>
    </row>
    <row r="738" spans="4:10" x14ac:dyDescent="0.2">
      <c r="D738" s="7"/>
      <c r="E738" s="8"/>
      <c r="F738" s="9"/>
      <c r="H738" s="6"/>
      <c r="I738" s="6"/>
      <c r="J738" s="6"/>
    </row>
    <row r="739" spans="4:10" x14ac:dyDescent="0.2">
      <c r="D739" s="7"/>
      <c r="E739" s="8"/>
      <c r="F739" s="9"/>
      <c r="H739" s="6"/>
      <c r="I739" s="6"/>
      <c r="J739" s="6"/>
    </row>
    <row r="740" spans="4:10" x14ac:dyDescent="0.2">
      <c r="D740" s="7"/>
      <c r="E740" s="8"/>
      <c r="F740" s="9"/>
      <c r="H740" s="6"/>
      <c r="I740" s="6"/>
      <c r="J740" s="6"/>
    </row>
    <row r="741" spans="4:10" x14ac:dyDescent="0.2">
      <c r="D741" s="7"/>
      <c r="E741" s="8"/>
      <c r="F741" s="9"/>
      <c r="H741" s="6"/>
      <c r="I741" s="6"/>
      <c r="J741" s="6"/>
    </row>
    <row r="742" spans="4:10" x14ac:dyDescent="0.2">
      <c r="D742" s="7"/>
      <c r="E742" s="8"/>
      <c r="F742" s="9"/>
      <c r="H742" s="6"/>
      <c r="I742" s="6"/>
      <c r="J742" s="6"/>
    </row>
    <row r="743" spans="4:10" x14ac:dyDescent="0.2">
      <c r="D743" s="7"/>
      <c r="E743" s="8"/>
      <c r="F743" s="9"/>
      <c r="H743" s="6"/>
      <c r="I743" s="6"/>
      <c r="J743" s="6"/>
    </row>
    <row r="744" spans="4:10" x14ac:dyDescent="0.2">
      <c r="D744" s="7"/>
      <c r="E744" s="8"/>
      <c r="F744" s="9"/>
      <c r="H744" s="6"/>
      <c r="I744" s="6"/>
      <c r="J744" s="6"/>
    </row>
    <row r="745" spans="4:10" x14ac:dyDescent="0.2">
      <c r="D745" s="7"/>
      <c r="E745" s="8"/>
      <c r="F745" s="9"/>
      <c r="H745" s="6"/>
      <c r="I745" s="6"/>
      <c r="J745" s="6"/>
    </row>
    <row r="746" spans="4:10" x14ac:dyDescent="0.2">
      <c r="D746" s="7"/>
      <c r="E746" s="8"/>
      <c r="F746" s="9"/>
      <c r="H746" s="6"/>
      <c r="I746" s="6"/>
      <c r="J746" s="6"/>
    </row>
    <row r="747" spans="4:10" x14ac:dyDescent="0.2">
      <c r="D747" s="7"/>
      <c r="E747" s="8"/>
      <c r="F747" s="9"/>
      <c r="H747" s="6"/>
      <c r="I747" s="6"/>
      <c r="J747" s="6"/>
    </row>
    <row r="748" spans="4:10" x14ac:dyDescent="0.2">
      <c r="D748" s="7"/>
      <c r="E748" s="8"/>
      <c r="F748" s="9"/>
      <c r="H748" s="6"/>
      <c r="I748" s="6"/>
      <c r="J748" s="6"/>
    </row>
    <row r="749" spans="4:10" x14ac:dyDescent="0.2">
      <c r="D749" s="7"/>
      <c r="E749" s="8"/>
      <c r="F749" s="9"/>
      <c r="H749" s="6"/>
      <c r="I749" s="6"/>
      <c r="J749" s="6"/>
    </row>
    <row r="750" spans="4:10" x14ac:dyDescent="0.2">
      <c r="D750" s="7"/>
      <c r="E750" s="8"/>
      <c r="F750" s="9"/>
      <c r="H750" s="6"/>
      <c r="I750" s="6"/>
      <c r="J750" s="6"/>
    </row>
    <row r="751" spans="4:10" x14ac:dyDescent="0.2">
      <c r="D751" s="7"/>
      <c r="E751" s="8"/>
      <c r="F751" s="9"/>
      <c r="H751" s="6"/>
      <c r="I751" s="6"/>
      <c r="J751" s="6"/>
    </row>
    <row r="752" spans="4:10" x14ac:dyDescent="0.2">
      <c r="D752" s="7"/>
      <c r="E752" s="8"/>
      <c r="F752" s="9"/>
      <c r="H752" s="6"/>
      <c r="I752" s="6"/>
      <c r="J752" s="6"/>
    </row>
    <row r="753" spans="4:10" x14ac:dyDescent="0.2">
      <c r="D753" s="7"/>
      <c r="E753" s="8"/>
      <c r="F753" s="9"/>
      <c r="H753" s="6"/>
      <c r="I753" s="6"/>
      <c r="J753" s="6"/>
    </row>
    <row r="754" spans="4:10" x14ac:dyDescent="0.2">
      <c r="D754" s="7"/>
      <c r="E754" s="8"/>
      <c r="F754" s="9"/>
      <c r="H754" s="6"/>
      <c r="I754" s="6"/>
      <c r="J754" s="6"/>
    </row>
    <row r="755" spans="4:10" x14ac:dyDescent="0.2">
      <c r="D755" s="7"/>
      <c r="E755" s="8"/>
      <c r="F755" s="9"/>
      <c r="H755" s="6"/>
      <c r="I755" s="6"/>
      <c r="J755" s="6"/>
    </row>
    <row r="756" spans="4:10" x14ac:dyDescent="0.2">
      <c r="D756" s="7"/>
      <c r="E756" s="8"/>
      <c r="F756" s="9"/>
      <c r="H756" s="6"/>
      <c r="I756" s="6"/>
      <c r="J756" s="6"/>
    </row>
    <row r="757" spans="4:10" x14ac:dyDescent="0.2">
      <c r="D757" s="7"/>
      <c r="E757" s="8"/>
      <c r="F757" s="9"/>
      <c r="H757" s="6"/>
      <c r="I757" s="6"/>
      <c r="J757" s="6"/>
    </row>
    <row r="758" spans="4:10" x14ac:dyDescent="0.2">
      <c r="D758" s="7"/>
      <c r="E758" s="8"/>
      <c r="F758" s="9"/>
      <c r="H758" s="6"/>
      <c r="I758" s="6"/>
      <c r="J758" s="6"/>
    </row>
    <row r="759" spans="4:10" x14ac:dyDescent="0.2">
      <c r="D759" s="7"/>
      <c r="E759" s="8"/>
      <c r="F759" s="9"/>
      <c r="H759" s="6"/>
      <c r="I759" s="6"/>
      <c r="J759" s="6"/>
    </row>
    <row r="760" spans="4:10" x14ac:dyDescent="0.2">
      <c r="D760" s="7"/>
      <c r="E760" s="8"/>
      <c r="F760" s="9"/>
      <c r="H760" s="6"/>
      <c r="I760" s="6"/>
      <c r="J760" s="6"/>
    </row>
    <row r="761" spans="4:10" x14ac:dyDescent="0.2">
      <c r="D761" s="7"/>
      <c r="E761" s="8"/>
      <c r="F761" s="9"/>
      <c r="H761" s="6"/>
      <c r="I761" s="6"/>
      <c r="J761" s="6"/>
    </row>
    <row r="762" spans="4:10" x14ac:dyDescent="0.2">
      <c r="D762" s="7"/>
      <c r="E762" s="8"/>
      <c r="F762" s="9"/>
      <c r="H762" s="6"/>
      <c r="I762" s="6"/>
      <c r="J762" s="6"/>
    </row>
    <row r="763" spans="4:10" x14ac:dyDescent="0.2">
      <c r="D763" s="7"/>
      <c r="E763" s="8"/>
      <c r="F763" s="9"/>
      <c r="H763" s="6"/>
      <c r="I763" s="6"/>
      <c r="J763" s="6"/>
    </row>
    <row r="764" spans="4:10" x14ac:dyDescent="0.2">
      <c r="D764" s="7"/>
      <c r="E764" s="8"/>
      <c r="F764" s="9"/>
      <c r="H764" s="6"/>
      <c r="I764" s="6"/>
      <c r="J764" s="6"/>
    </row>
    <row r="765" spans="4:10" x14ac:dyDescent="0.2">
      <c r="D765" s="7"/>
      <c r="E765" s="8"/>
      <c r="F765" s="9"/>
      <c r="H765" s="6"/>
      <c r="I765" s="6"/>
      <c r="J765" s="6"/>
    </row>
    <row r="766" spans="4:10" x14ac:dyDescent="0.2">
      <c r="D766" s="7"/>
      <c r="E766" s="8"/>
      <c r="F766" s="9"/>
      <c r="H766" s="6"/>
      <c r="I766" s="6"/>
      <c r="J766" s="6"/>
    </row>
    <row r="767" spans="4:10" x14ac:dyDescent="0.2">
      <c r="D767" s="7"/>
      <c r="E767" s="8"/>
      <c r="F767" s="9"/>
      <c r="H767" s="6"/>
      <c r="I767" s="6"/>
      <c r="J767" s="6"/>
    </row>
    <row r="768" spans="4:10" x14ac:dyDescent="0.2">
      <c r="D768" s="7"/>
      <c r="E768" s="8"/>
      <c r="F768" s="9"/>
      <c r="H768" s="6"/>
      <c r="I768" s="6"/>
      <c r="J768" s="6"/>
    </row>
    <row r="769" spans="4:10" x14ac:dyDescent="0.2">
      <c r="D769" s="7"/>
      <c r="E769" s="8"/>
      <c r="F769" s="9"/>
      <c r="H769" s="6"/>
      <c r="I769" s="6"/>
      <c r="J769" s="6"/>
    </row>
    <row r="770" spans="4:10" x14ac:dyDescent="0.2">
      <c r="D770" s="7"/>
      <c r="E770" s="8"/>
      <c r="F770" s="9"/>
      <c r="H770" s="6"/>
      <c r="I770" s="6"/>
      <c r="J770" s="6"/>
    </row>
    <row r="771" spans="4:10" x14ac:dyDescent="0.2">
      <c r="D771" s="7"/>
      <c r="E771" s="8"/>
      <c r="F771" s="9"/>
      <c r="H771" s="6"/>
      <c r="I771" s="6"/>
      <c r="J771" s="6"/>
    </row>
    <row r="772" spans="4:10" x14ac:dyDescent="0.2">
      <c r="D772" s="7"/>
      <c r="E772" s="8"/>
      <c r="F772" s="9"/>
      <c r="H772" s="6"/>
      <c r="I772" s="6"/>
      <c r="J772" s="6"/>
    </row>
    <row r="773" spans="4:10" x14ac:dyDescent="0.2">
      <c r="D773" s="7"/>
      <c r="E773" s="8"/>
      <c r="F773" s="9"/>
      <c r="H773" s="6"/>
      <c r="I773" s="6"/>
      <c r="J773" s="6"/>
    </row>
    <row r="774" spans="4:10" x14ac:dyDescent="0.2">
      <c r="D774" s="7"/>
      <c r="E774" s="8"/>
      <c r="F774" s="9"/>
      <c r="H774" s="6"/>
      <c r="I774" s="6"/>
      <c r="J774" s="6"/>
    </row>
    <row r="775" spans="4:10" x14ac:dyDescent="0.2">
      <c r="D775" s="7"/>
      <c r="E775" s="8"/>
      <c r="F775" s="9"/>
      <c r="H775" s="6"/>
      <c r="I775" s="6"/>
      <c r="J775" s="6"/>
    </row>
    <row r="776" spans="4:10" x14ac:dyDescent="0.2">
      <c r="D776" s="7"/>
      <c r="E776" s="8"/>
      <c r="F776" s="9"/>
      <c r="H776" s="6"/>
      <c r="I776" s="6"/>
      <c r="J776" s="6"/>
    </row>
    <row r="777" spans="4:10" x14ac:dyDescent="0.2">
      <c r="D777" s="7"/>
      <c r="E777" s="8"/>
      <c r="F777" s="9"/>
      <c r="H777" s="6"/>
      <c r="I777" s="6"/>
      <c r="J777" s="6"/>
    </row>
    <row r="778" spans="4:10" x14ac:dyDescent="0.2">
      <c r="D778" s="7"/>
      <c r="E778" s="8"/>
      <c r="F778" s="9"/>
      <c r="H778" s="6"/>
      <c r="I778" s="6"/>
      <c r="J778" s="6"/>
    </row>
    <row r="779" spans="4:10" x14ac:dyDescent="0.2">
      <c r="D779" s="7"/>
      <c r="E779" s="8"/>
      <c r="F779" s="9"/>
      <c r="H779" s="6"/>
      <c r="I779" s="6"/>
      <c r="J779" s="6"/>
    </row>
    <row r="780" spans="4:10" x14ac:dyDescent="0.2">
      <c r="D780" s="7"/>
      <c r="E780" s="8"/>
      <c r="F780" s="9"/>
      <c r="H780" s="6"/>
      <c r="I780" s="6"/>
      <c r="J780" s="6"/>
    </row>
    <row r="781" spans="4:10" x14ac:dyDescent="0.2">
      <c r="D781" s="7"/>
      <c r="E781" s="8"/>
      <c r="F781" s="9"/>
      <c r="H781" s="6"/>
      <c r="I781" s="6"/>
      <c r="J781" s="6"/>
    </row>
    <row r="782" spans="4:10" x14ac:dyDescent="0.2">
      <c r="D782" s="7"/>
      <c r="E782" s="8"/>
      <c r="F782" s="9"/>
      <c r="H782" s="6"/>
      <c r="I782" s="6"/>
      <c r="J782" s="6"/>
    </row>
    <row r="783" spans="4:10" x14ac:dyDescent="0.2">
      <c r="D783" s="7"/>
      <c r="E783" s="8"/>
      <c r="F783" s="9"/>
      <c r="H783" s="6"/>
      <c r="I783" s="6"/>
      <c r="J783" s="6"/>
    </row>
    <row r="784" spans="4:10" x14ac:dyDescent="0.2">
      <c r="D784" s="7"/>
      <c r="E784" s="8"/>
      <c r="F784" s="9"/>
      <c r="H784" s="6"/>
      <c r="I784" s="6"/>
      <c r="J784" s="6"/>
    </row>
    <row r="785" spans="4:10" x14ac:dyDescent="0.2">
      <c r="D785" s="7"/>
      <c r="E785" s="8"/>
      <c r="F785" s="9"/>
      <c r="H785" s="6"/>
      <c r="I785" s="6"/>
      <c r="J785" s="6"/>
    </row>
    <row r="786" spans="4:10" x14ac:dyDescent="0.2">
      <c r="D786" s="7"/>
      <c r="E786" s="8"/>
      <c r="F786" s="9"/>
      <c r="H786" s="6"/>
      <c r="I786" s="6"/>
      <c r="J786" s="6"/>
    </row>
    <row r="787" spans="4:10" x14ac:dyDescent="0.2">
      <c r="D787" s="7"/>
      <c r="E787" s="8"/>
      <c r="F787" s="9"/>
      <c r="H787" s="6"/>
      <c r="I787" s="6"/>
      <c r="J787" s="6"/>
    </row>
    <row r="788" spans="4:10" x14ac:dyDescent="0.2">
      <c r="D788" s="7"/>
      <c r="E788" s="8"/>
      <c r="F788" s="9"/>
      <c r="H788" s="6"/>
      <c r="I788" s="6"/>
      <c r="J788" s="6"/>
    </row>
    <row r="789" spans="4:10" x14ac:dyDescent="0.2">
      <c r="D789" s="7"/>
      <c r="E789" s="8"/>
      <c r="F789" s="9"/>
      <c r="H789" s="6"/>
      <c r="I789" s="6"/>
      <c r="J789" s="6"/>
    </row>
    <row r="790" spans="4:10" x14ac:dyDescent="0.2">
      <c r="D790" s="7"/>
      <c r="E790" s="8"/>
      <c r="F790" s="9"/>
      <c r="H790" s="6"/>
      <c r="I790" s="6"/>
      <c r="J790" s="6"/>
    </row>
    <row r="791" spans="4:10" x14ac:dyDescent="0.2">
      <c r="D791" s="7"/>
      <c r="E791" s="8"/>
      <c r="F791" s="9"/>
      <c r="H791" s="6"/>
      <c r="I791" s="6"/>
      <c r="J791" s="6"/>
    </row>
    <row r="792" spans="4:10" x14ac:dyDescent="0.2">
      <c r="D792" s="7"/>
      <c r="E792" s="8"/>
      <c r="F792" s="9"/>
      <c r="H792" s="6"/>
      <c r="I792" s="6"/>
      <c r="J792" s="6"/>
    </row>
    <row r="793" spans="4:10" x14ac:dyDescent="0.2">
      <c r="D793" s="7"/>
      <c r="E793" s="8"/>
      <c r="F793" s="9"/>
      <c r="H793" s="6"/>
      <c r="I793" s="6"/>
      <c r="J793" s="6"/>
    </row>
    <row r="794" spans="4:10" x14ac:dyDescent="0.2">
      <c r="D794" s="7"/>
      <c r="E794" s="8"/>
      <c r="F794" s="9"/>
      <c r="H794" s="6"/>
      <c r="I794" s="6"/>
      <c r="J794" s="6"/>
    </row>
    <row r="795" spans="4:10" x14ac:dyDescent="0.2">
      <c r="D795" s="7"/>
      <c r="E795" s="8"/>
      <c r="F795" s="9"/>
      <c r="H795" s="6"/>
      <c r="I795" s="6"/>
      <c r="J795" s="6"/>
    </row>
    <row r="796" spans="4:10" x14ac:dyDescent="0.2">
      <c r="D796" s="7"/>
      <c r="E796" s="8"/>
      <c r="F796" s="9"/>
      <c r="H796" s="6"/>
      <c r="I796" s="6"/>
      <c r="J796" s="6"/>
    </row>
    <row r="797" spans="4:10" x14ac:dyDescent="0.2">
      <c r="D797" s="7"/>
      <c r="E797" s="8"/>
      <c r="F797" s="9"/>
      <c r="H797" s="6"/>
      <c r="I797" s="6"/>
      <c r="J797" s="6"/>
    </row>
    <row r="798" spans="4:10" x14ac:dyDescent="0.2">
      <c r="D798" s="7"/>
      <c r="E798" s="8"/>
      <c r="F798" s="9"/>
      <c r="H798" s="6"/>
      <c r="I798" s="6"/>
      <c r="J798" s="6"/>
    </row>
    <row r="799" spans="4:10" x14ac:dyDescent="0.2">
      <c r="D799" s="7"/>
      <c r="E799" s="8"/>
      <c r="F799" s="9"/>
      <c r="H799" s="6"/>
      <c r="I799" s="6"/>
      <c r="J799" s="6"/>
    </row>
    <row r="800" spans="4:10" x14ac:dyDescent="0.2">
      <c r="D800" s="7"/>
      <c r="E800" s="8"/>
      <c r="F800" s="9"/>
      <c r="H800" s="6"/>
      <c r="I800" s="6"/>
      <c r="J800" s="6"/>
    </row>
    <row r="801" spans="4:10" x14ac:dyDescent="0.2">
      <c r="D801" s="7"/>
      <c r="E801" s="8"/>
      <c r="F801" s="9"/>
      <c r="H801" s="6"/>
      <c r="I801" s="6"/>
      <c r="J801" s="6"/>
    </row>
    <row r="802" spans="4:10" x14ac:dyDescent="0.2">
      <c r="D802" s="7"/>
      <c r="E802" s="8"/>
      <c r="F802" s="9"/>
      <c r="H802" s="6"/>
      <c r="I802" s="6"/>
      <c r="J802" s="6"/>
    </row>
    <row r="803" spans="4:10" x14ac:dyDescent="0.2">
      <c r="D803" s="7"/>
      <c r="E803" s="8"/>
      <c r="F803" s="9"/>
      <c r="H803" s="6"/>
      <c r="I803" s="6"/>
      <c r="J803" s="6"/>
    </row>
    <row r="804" spans="4:10" x14ac:dyDescent="0.2">
      <c r="D804" s="7"/>
      <c r="E804" s="8"/>
      <c r="F804" s="9"/>
      <c r="H804" s="6"/>
      <c r="I804" s="6"/>
      <c r="J804" s="6"/>
    </row>
    <row r="805" spans="4:10" x14ac:dyDescent="0.2">
      <c r="D805" s="7"/>
      <c r="E805" s="8"/>
      <c r="F805" s="9"/>
      <c r="H805" s="6"/>
      <c r="I805" s="6"/>
      <c r="J805" s="6"/>
    </row>
    <row r="806" spans="4:10" x14ac:dyDescent="0.2">
      <c r="D806" s="7"/>
      <c r="E806" s="8"/>
      <c r="F806" s="9"/>
      <c r="H806" s="6"/>
      <c r="I806" s="6"/>
      <c r="J806" s="6"/>
    </row>
    <row r="807" spans="4:10" x14ac:dyDescent="0.2">
      <c r="D807" s="7"/>
      <c r="E807" s="8"/>
      <c r="F807" s="9"/>
      <c r="H807" s="6"/>
      <c r="I807" s="6"/>
      <c r="J807" s="6"/>
    </row>
    <row r="808" spans="4:10" x14ac:dyDescent="0.2">
      <c r="D808" s="7"/>
      <c r="E808" s="8"/>
      <c r="F808" s="9"/>
      <c r="H808" s="6"/>
      <c r="I808" s="6"/>
      <c r="J808" s="6"/>
    </row>
    <row r="809" spans="4:10" x14ac:dyDescent="0.2">
      <c r="D809" s="7"/>
      <c r="E809" s="8"/>
      <c r="F809" s="9"/>
      <c r="H809" s="6"/>
      <c r="I809" s="6"/>
      <c r="J809" s="6"/>
    </row>
    <row r="810" spans="4:10" x14ac:dyDescent="0.2">
      <c r="D810" s="7"/>
      <c r="E810" s="8"/>
      <c r="F810" s="9"/>
      <c r="H810" s="6"/>
      <c r="I810" s="6"/>
      <c r="J810" s="6"/>
    </row>
    <row r="811" spans="4:10" x14ac:dyDescent="0.2">
      <c r="D811" s="7"/>
      <c r="E811" s="8"/>
      <c r="F811" s="9"/>
      <c r="H811" s="6"/>
      <c r="I811" s="6"/>
      <c r="J811" s="6"/>
    </row>
    <row r="812" spans="4:10" x14ac:dyDescent="0.2">
      <c r="D812" s="7"/>
      <c r="E812" s="8"/>
      <c r="F812" s="9"/>
      <c r="H812" s="6"/>
      <c r="I812" s="6"/>
      <c r="J812" s="6"/>
    </row>
    <row r="813" spans="4:10" x14ac:dyDescent="0.2">
      <c r="D813" s="7"/>
      <c r="E813" s="8"/>
      <c r="F813" s="9"/>
      <c r="H813" s="6"/>
      <c r="I813" s="6"/>
      <c r="J813" s="6"/>
    </row>
    <row r="814" spans="4:10" x14ac:dyDescent="0.2">
      <c r="D814" s="7"/>
      <c r="E814" s="8"/>
      <c r="F814" s="9"/>
      <c r="H814" s="6"/>
      <c r="I814" s="6"/>
      <c r="J814" s="6"/>
    </row>
    <row r="815" spans="4:10" x14ac:dyDescent="0.2">
      <c r="D815" s="7"/>
      <c r="E815" s="8"/>
      <c r="F815" s="9"/>
      <c r="H815" s="6"/>
      <c r="I815" s="6"/>
      <c r="J815" s="6"/>
    </row>
    <row r="816" spans="4:10" x14ac:dyDescent="0.2">
      <c r="D816" s="7"/>
      <c r="E816" s="8"/>
      <c r="F816" s="9"/>
      <c r="H816" s="6"/>
      <c r="I816" s="6"/>
      <c r="J816" s="6"/>
    </row>
    <row r="817" spans="4:10" x14ac:dyDescent="0.2">
      <c r="D817" s="7"/>
      <c r="E817" s="8"/>
      <c r="F817" s="9"/>
      <c r="H817" s="6"/>
      <c r="I817" s="6"/>
      <c r="J817" s="6"/>
    </row>
    <row r="818" spans="4:10" x14ac:dyDescent="0.2">
      <c r="D818" s="7"/>
      <c r="E818" s="8"/>
      <c r="F818" s="9"/>
      <c r="H818" s="6"/>
      <c r="I818" s="6"/>
      <c r="J818" s="6"/>
    </row>
    <row r="819" spans="4:10" x14ac:dyDescent="0.2">
      <c r="D819" s="7"/>
      <c r="E819" s="8"/>
      <c r="F819" s="9"/>
      <c r="H819" s="6"/>
      <c r="I819" s="6"/>
      <c r="J819" s="6"/>
    </row>
    <row r="820" spans="4:10" x14ac:dyDescent="0.2">
      <c r="D820" s="7"/>
      <c r="E820" s="8"/>
      <c r="F820" s="9"/>
      <c r="H820" s="6"/>
      <c r="I820" s="6"/>
      <c r="J820" s="6"/>
    </row>
    <row r="821" spans="4:10" x14ac:dyDescent="0.2">
      <c r="D821" s="7"/>
      <c r="E821" s="8"/>
      <c r="F821" s="9"/>
      <c r="H821" s="6"/>
      <c r="I821" s="6"/>
      <c r="J821" s="6"/>
    </row>
    <row r="822" spans="4:10" x14ac:dyDescent="0.2">
      <c r="D822" s="7"/>
      <c r="E822" s="8"/>
      <c r="F822" s="9"/>
      <c r="H822" s="6"/>
      <c r="I822" s="6"/>
      <c r="J822" s="6"/>
    </row>
    <row r="823" spans="4:10" x14ac:dyDescent="0.2">
      <c r="D823" s="7"/>
      <c r="E823" s="8"/>
      <c r="F823" s="9"/>
      <c r="H823" s="6"/>
      <c r="I823" s="6"/>
      <c r="J823" s="6"/>
    </row>
    <row r="824" spans="4:10" x14ac:dyDescent="0.2">
      <c r="D824" s="7"/>
      <c r="E824" s="8"/>
      <c r="F824" s="9"/>
      <c r="H824" s="6"/>
      <c r="I824" s="6"/>
      <c r="J824" s="6"/>
    </row>
    <row r="825" spans="4:10" x14ac:dyDescent="0.2">
      <c r="D825" s="7"/>
      <c r="E825" s="8"/>
      <c r="F825" s="9"/>
      <c r="H825" s="6"/>
      <c r="I825" s="6"/>
      <c r="J825" s="6"/>
    </row>
    <row r="826" spans="4:10" x14ac:dyDescent="0.2">
      <c r="D826" s="7"/>
      <c r="E826" s="8"/>
      <c r="F826" s="9"/>
      <c r="H826" s="6"/>
      <c r="I826" s="6"/>
      <c r="J826" s="6"/>
    </row>
    <row r="827" spans="4:10" x14ac:dyDescent="0.2">
      <c r="D827" s="7"/>
      <c r="E827" s="8"/>
      <c r="F827" s="9"/>
      <c r="H827" s="6"/>
      <c r="I827" s="6"/>
      <c r="J827" s="6"/>
    </row>
    <row r="828" spans="4:10" x14ac:dyDescent="0.2">
      <c r="D828" s="7"/>
      <c r="E828" s="8"/>
      <c r="F828" s="9"/>
      <c r="H828" s="6"/>
      <c r="I828" s="6"/>
      <c r="J828" s="6"/>
    </row>
    <row r="829" spans="4:10" x14ac:dyDescent="0.2">
      <c r="D829" s="7"/>
      <c r="E829" s="8"/>
      <c r="F829" s="9"/>
      <c r="H829" s="6"/>
      <c r="I829" s="6"/>
      <c r="J829" s="6"/>
    </row>
    <row r="830" spans="4:10" x14ac:dyDescent="0.2">
      <c r="D830" s="7"/>
      <c r="E830" s="8"/>
      <c r="F830" s="9"/>
      <c r="H830" s="6"/>
      <c r="I830" s="6"/>
      <c r="J830" s="6"/>
    </row>
    <row r="831" spans="4:10" x14ac:dyDescent="0.2">
      <c r="D831" s="7"/>
      <c r="E831" s="8"/>
      <c r="F831" s="9"/>
      <c r="H831" s="6"/>
      <c r="I831" s="6"/>
      <c r="J831" s="6"/>
    </row>
    <row r="832" spans="4:10" x14ac:dyDescent="0.2">
      <c r="D832" s="7"/>
      <c r="E832" s="8"/>
      <c r="F832" s="9"/>
      <c r="H832" s="6"/>
      <c r="I832" s="6"/>
      <c r="J832" s="6"/>
    </row>
    <row r="833" spans="4:10" x14ac:dyDescent="0.2">
      <c r="D833" s="7"/>
      <c r="E833" s="8"/>
      <c r="F833" s="9"/>
      <c r="H833" s="6"/>
      <c r="I833" s="6"/>
      <c r="J833" s="6"/>
    </row>
    <row r="834" spans="4:10" x14ac:dyDescent="0.2">
      <c r="D834" s="7"/>
      <c r="E834" s="8"/>
      <c r="F834" s="9"/>
      <c r="H834" s="6"/>
      <c r="I834" s="6"/>
      <c r="J834" s="6"/>
    </row>
    <row r="835" spans="4:10" x14ac:dyDescent="0.2">
      <c r="D835" s="7"/>
      <c r="E835" s="8"/>
      <c r="F835" s="9"/>
      <c r="H835" s="6"/>
      <c r="I835" s="6"/>
      <c r="J835" s="6"/>
    </row>
    <row r="836" spans="4:10" x14ac:dyDescent="0.2">
      <c r="D836" s="7"/>
      <c r="E836" s="8"/>
      <c r="F836" s="9"/>
      <c r="H836" s="6"/>
      <c r="I836" s="6"/>
      <c r="J836" s="6"/>
    </row>
    <row r="837" spans="4:10" x14ac:dyDescent="0.2">
      <c r="D837" s="7"/>
      <c r="E837" s="8"/>
      <c r="F837" s="9"/>
      <c r="H837" s="6"/>
      <c r="I837" s="6"/>
      <c r="J837" s="6"/>
    </row>
    <row r="838" spans="4:10" x14ac:dyDescent="0.2">
      <c r="D838" s="7"/>
      <c r="E838" s="8"/>
      <c r="F838" s="9"/>
      <c r="H838" s="6"/>
      <c r="I838" s="6"/>
      <c r="J838" s="6"/>
    </row>
    <row r="839" spans="4:10" x14ac:dyDescent="0.2">
      <c r="D839" s="7"/>
      <c r="E839" s="8"/>
      <c r="F839" s="9"/>
      <c r="H839" s="6"/>
      <c r="I839" s="6"/>
      <c r="J839" s="6"/>
    </row>
    <row r="840" spans="4:10" x14ac:dyDescent="0.2">
      <c r="D840" s="7"/>
      <c r="E840" s="8"/>
      <c r="F840" s="9"/>
      <c r="H840" s="6"/>
      <c r="I840" s="6"/>
      <c r="J840" s="6"/>
    </row>
    <row r="841" spans="4:10" x14ac:dyDescent="0.2">
      <c r="D841" s="7"/>
      <c r="E841" s="8"/>
      <c r="F841" s="9"/>
      <c r="H841" s="6"/>
      <c r="I841" s="6"/>
      <c r="J841" s="6"/>
    </row>
    <row r="842" spans="4:10" x14ac:dyDescent="0.2">
      <c r="D842" s="7"/>
      <c r="E842" s="8"/>
      <c r="F842" s="9"/>
      <c r="H842" s="6"/>
      <c r="I842" s="6"/>
      <c r="J842" s="6"/>
    </row>
    <row r="843" spans="4:10" x14ac:dyDescent="0.2">
      <c r="D843" s="7"/>
      <c r="E843" s="8"/>
      <c r="F843" s="9"/>
      <c r="H843" s="6"/>
      <c r="I843" s="6"/>
      <c r="J843" s="6"/>
    </row>
    <row r="844" spans="4:10" x14ac:dyDescent="0.2">
      <c r="D844" s="7"/>
      <c r="E844" s="8"/>
      <c r="F844" s="9"/>
      <c r="H844" s="6"/>
      <c r="I844" s="6"/>
      <c r="J844" s="6"/>
    </row>
    <row r="845" spans="4:10" x14ac:dyDescent="0.2">
      <c r="D845" s="7"/>
      <c r="E845" s="8"/>
      <c r="F845" s="9"/>
      <c r="H845" s="6"/>
      <c r="I845" s="6"/>
      <c r="J845" s="6"/>
    </row>
    <row r="846" spans="4:10" x14ac:dyDescent="0.2">
      <c r="D846" s="7"/>
      <c r="E846" s="8"/>
      <c r="F846" s="9"/>
      <c r="H846" s="6"/>
      <c r="I846" s="6"/>
      <c r="J846" s="6"/>
    </row>
    <row r="847" spans="4:10" x14ac:dyDescent="0.2">
      <c r="D847" s="7"/>
      <c r="E847" s="8"/>
      <c r="F847" s="9"/>
      <c r="H847" s="6"/>
      <c r="I847" s="6"/>
      <c r="J847" s="6"/>
    </row>
    <row r="848" spans="4:10" x14ac:dyDescent="0.2">
      <c r="D848" s="7"/>
      <c r="E848" s="8"/>
      <c r="F848" s="9"/>
      <c r="H848" s="6"/>
      <c r="I848" s="6"/>
      <c r="J848" s="6"/>
    </row>
    <row r="849" spans="4:10" x14ac:dyDescent="0.2">
      <c r="D849" s="7"/>
      <c r="E849" s="8"/>
      <c r="F849" s="9"/>
      <c r="H849" s="6"/>
      <c r="I849" s="6"/>
      <c r="J849" s="6"/>
    </row>
    <row r="850" spans="4:10" x14ac:dyDescent="0.2">
      <c r="D850" s="7"/>
      <c r="E850" s="8"/>
      <c r="F850" s="9"/>
      <c r="H850" s="6"/>
      <c r="I850" s="6"/>
      <c r="J850" s="6"/>
    </row>
    <row r="851" spans="4:10" x14ac:dyDescent="0.2">
      <c r="D851" s="7"/>
      <c r="E851" s="8"/>
      <c r="F851" s="9"/>
      <c r="H851" s="6"/>
      <c r="I851" s="6"/>
      <c r="J851" s="6"/>
    </row>
    <row r="852" spans="4:10" x14ac:dyDescent="0.2">
      <c r="D852" s="7"/>
      <c r="E852" s="8"/>
      <c r="F852" s="9"/>
      <c r="H852" s="6"/>
      <c r="I852" s="6"/>
      <c r="J852" s="6"/>
    </row>
    <row r="853" spans="4:10" x14ac:dyDescent="0.2">
      <c r="D853" s="7"/>
      <c r="E853" s="8"/>
      <c r="F853" s="9"/>
      <c r="H853" s="6"/>
      <c r="I853" s="6"/>
      <c r="J853" s="6"/>
    </row>
    <row r="854" spans="4:10" x14ac:dyDescent="0.2">
      <c r="D854" s="7"/>
      <c r="E854" s="8"/>
      <c r="F854" s="9"/>
      <c r="H854" s="6"/>
      <c r="I854" s="6"/>
      <c r="J854" s="6"/>
    </row>
    <row r="855" spans="4:10" x14ac:dyDescent="0.2">
      <c r="D855" s="7"/>
      <c r="E855" s="8"/>
      <c r="F855" s="9"/>
      <c r="H855" s="6"/>
      <c r="I855" s="6"/>
      <c r="J855" s="6"/>
    </row>
    <row r="856" spans="4:10" x14ac:dyDescent="0.2">
      <c r="D856" s="7"/>
      <c r="E856" s="8"/>
      <c r="F856" s="9"/>
      <c r="H856" s="6"/>
      <c r="I856" s="6"/>
      <c r="J856" s="6"/>
    </row>
    <row r="857" spans="4:10" x14ac:dyDescent="0.2">
      <c r="D857" s="7"/>
      <c r="E857" s="8"/>
      <c r="F857" s="9"/>
      <c r="H857" s="6"/>
      <c r="I857" s="6"/>
      <c r="J857" s="6"/>
    </row>
    <row r="858" spans="4:10" x14ac:dyDescent="0.2">
      <c r="D858" s="7"/>
      <c r="E858" s="8"/>
      <c r="F858" s="9"/>
      <c r="H858" s="6"/>
      <c r="I858" s="6"/>
      <c r="J858" s="6"/>
    </row>
    <row r="859" spans="4:10" x14ac:dyDescent="0.2">
      <c r="D859" s="7"/>
      <c r="E859" s="8"/>
      <c r="F859" s="9"/>
      <c r="H859" s="6"/>
      <c r="I859" s="6"/>
      <c r="J859" s="6"/>
    </row>
    <row r="860" spans="4:10" x14ac:dyDescent="0.2">
      <c r="D860" s="7"/>
      <c r="E860" s="8"/>
      <c r="F860" s="9"/>
      <c r="H860" s="6"/>
      <c r="I860" s="6"/>
      <c r="J860" s="6"/>
    </row>
    <row r="861" spans="4:10" x14ac:dyDescent="0.2">
      <c r="D861" s="7"/>
      <c r="E861" s="8"/>
      <c r="F861" s="9"/>
      <c r="H861" s="6"/>
      <c r="I861" s="6"/>
      <c r="J861" s="6"/>
    </row>
    <row r="862" spans="4:10" x14ac:dyDescent="0.2">
      <c r="D862" s="7"/>
      <c r="E862" s="8"/>
      <c r="F862" s="9"/>
      <c r="H862" s="6"/>
      <c r="I862" s="6"/>
      <c r="J862" s="6"/>
    </row>
    <row r="863" spans="4:10" x14ac:dyDescent="0.2">
      <c r="D863" s="7"/>
      <c r="E863" s="8"/>
      <c r="F863" s="9"/>
      <c r="H863" s="6"/>
      <c r="I863" s="6"/>
      <c r="J863" s="6"/>
    </row>
    <row r="864" spans="4:10" x14ac:dyDescent="0.2">
      <c r="D864" s="7"/>
      <c r="E864" s="8"/>
      <c r="F864" s="9"/>
      <c r="H864" s="6"/>
      <c r="I864" s="6"/>
      <c r="J864" s="6"/>
    </row>
    <row r="865" spans="4:10" x14ac:dyDescent="0.2">
      <c r="D865" s="7"/>
      <c r="E865" s="8"/>
      <c r="F865" s="9"/>
      <c r="H865" s="6"/>
      <c r="I865" s="6"/>
      <c r="J865" s="6"/>
    </row>
    <row r="866" spans="4:10" x14ac:dyDescent="0.2">
      <c r="D866" s="7"/>
      <c r="E866" s="8"/>
      <c r="F866" s="9"/>
      <c r="H866" s="6"/>
      <c r="I866" s="6"/>
      <c r="J866" s="6"/>
    </row>
    <row r="867" spans="4:10" x14ac:dyDescent="0.2">
      <c r="D867" s="7"/>
      <c r="E867" s="8"/>
      <c r="F867" s="9"/>
      <c r="H867" s="6"/>
      <c r="I867" s="6"/>
      <c r="J867" s="6"/>
    </row>
    <row r="868" spans="4:10" x14ac:dyDescent="0.2">
      <c r="D868" s="7"/>
      <c r="E868" s="8"/>
      <c r="F868" s="9"/>
      <c r="H868" s="6"/>
      <c r="I868" s="6"/>
      <c r="J868" s="6"/>
    </row>
    <row r="869" spans="4:10" x14ac:dyDescent="0.2">
      <c r="D869" s="7"/>
      <c r="E869" s="8"/>
      <c r="F869" s="9"/>
      <c r="H869" s="6"/>
      <c r="I869" s="6"/>
      <c r="J869" s="6"/>
    </row>
    <row r="870" spans="4:10" x14ac:dyDescent="0.2">
      <c r="D870" s="7"/>
      <c r="E870" s="8"/>
      <c r="F870" s="9"/>
      <c r="H870" s="6"/>
      <c r="I870" s="6"/>
      <c r="J870" s="6"/>
    </row>
    <row r="871" spans="4:10" x14ac:dyDescent="0.2">
      <c r="D871" s="7"/>
      <c r="E871" s="8"/>
      <c r="F871" s="9"/>
      <c r="H871" s="6"/>
      <c r="I871" s="6"/>
      <c r="J871" s="6"/>
    </row>
    <row r="872" spans="4:10" x14ac:dyDescent="0.2">
      <c r="D872" s="7"/>
      <c r="E872" s="8"/>
      <c r="F872" s="9"/>
      <c r="H872" s="6"/>
      <c r="I872" s="6"/>
      <c r="J872" s="6"/>
    </row>
    <row r="873" spans="4:10" x14ac:dyDescent="0.2">
      <c r="D873" s="7"/>
      <c r="E873" s="8"/>
      <c r="F873" s="9"/>
      <c r="H873" s="6"/>
      <c r="I873" s="6"/>
      <c r="J873" s="6"/>
    </row>
    <row r="874" spans="4:10" x14ac:dyDescent="0.2">
      <c r="D874" s="7"/>
      <c r="E874" s="8"/>
      <c r="F874" s="9"/>
      <c r="H874" s="6"/>
      <c r="I874" s="6"/>
      <c r="J874" s="6"/>
    </row>
    <row r="875" spans="4:10" x14ac:dyDescent="0.2">
      <c r="D875" s="7"/>
      <c r="E875" s="8"/>
      <c r="F875" s="9"/>
      <c r="H875" s="6"/>
      <c r="I875" s="6"/>
      <c r="J875" s="6"/>
    </row>
    <row r="876" spans="4:10" x14ac:dyDescent="0.2">
      <c r="D876" s="7"/>
      <c r="E876" s="8"/>
      <c r="F876" s="9"/>
      <c r="H876" s="6"/>
      <c r="I876" s="6"/>
      <c r="J876" s="6"/>
    </row>
    <row r="877" spans="4:10" x14ac:dyDescent="0.2">
      <c r="D877" s="7"/>
      <c r="E877" s="8"/>
      <c r="F877" s="9"/>
      <c r="H877" s="6"/>
      <c r="I877" s="6"/>
      <c r="J877" s="6"/>
    </row>
    <row r="878" spans="4:10" x14ac:dyDescent="0.2">
      <c r="D878" s="7"/>
      <c r="E878" s="8"/>
      <c r="F878" s="9"/>
      <c r="H878" s="6"/>
      <c r="I878" s="6"/>
      <c r="J878" s="6"/>
    </row>
    <row r="879" spans="4:10" x14ac:dyDescent="0.2">
      <c r="D879" s="7"/>
      <c r="E879" s="8"/>
      <c r="F879" s="9"/>
      <c r="H879" s="6"/>
      <c r="I879" s="6"/>
      <c r="J879" s="6"/>
    </row>
    <row r="880" spans="4:10" x14ac:dyDescent="0.2">
      <c r="D880" s="7"/>
      <c r="E880" s="8"/>
      <c r="F880" s="9"/>
      <c r="H880" s="6"/>
      <c r="I880" s="6"/>
      <c r="J880" s="6"/>
    </row>
    <row r="881" spans="4:10" x14ac:dyDescent="0.2">
      <c r="D881" s="7"/>
      <c r="E881" s="8"/>
      <c r="F881" s="9"/>
      <c r="H881" s="6"/>
      <c r="I881" s="6"/>
      <c r="J881" s="6"/>
    </row>
    <row r="882" spans="4:10" x14ac:dyDescent="0.2">
      <c r="D882" s="7"/>
      <c r="E882" s="8"/>
      <c r="F882" s="9"/>
      <c r="H882" s="6"/>
      <c r="I882" s="6"/>
      <c r="J882" s="6"/>
    </row>
    <row r="883" spans="4:10" x14ac:dyDescent="0.2">
      <c r="D883" s="7"/>
      <c r="E883" s="8"/>
      <c r="F883" s="9"/>
      <c r="H883" s="6"/>
      <c r="I883" s="6"/>
      <c r="J883" s="6"/>
    </row>
    <row r="884" spans="4:10" x14ac:dyDescent="0.2">
      <c r="D884" s="7"/>
      <c r="E884" s="8"/>
      <c r="F884" s="9"/>
      <c r="H884" s="6"/>
      <c r="I884" s="6"/>
      <c r="J884" s="6"/>
    </row>
    <row r="885" spans="4:10" x14ac:dyDescent="0.2">
      <c r="D885" s="7"/>
      <c r="E885" s="8"/>
      <c r="F885" s="9"/>
      <c r="H885" s="6"/>
      <c r="I885" s="6"/>
      <c r="J885" s="6"/>
    </row>
    <row r="886" spans="4:10" x14ac:dyDescent="0.2">
      <c r="D886" s="7"/>
      <c r="E886" s="8"/>
      <c r="F886" s="9"/>
      <c r="H886" s="6"/>
      <c r="I886" s="6"/>
      <c r="J886" s="6"/>
    </row>
    <row r="887" spans="4:10" x14ac:dyDescent="0.2">
      <c r="D887" s="7"/>
      <c r="E887" s="8"/>
      <c r="F887" s="9"/>
      <c r="H887" s="6"/>
      <c r="I887" s="6"/>
      <c r="J887" s="6"/>
    </row>
    <row r="888" spans="4:10" x14ac:dyDescent="0.2">
      <c r="D888" s="7"/>
      <c r="E888" s="8"/>
      <c r="F888" s="9"/>
      <c r="H888" s="6"/>
      <c r="I888" s="6"/>
      <c r="J888" s="6"/>
    </row>
    <row r="889" spans="4:10" x14ac:dyDescent="0.2">
      <c r="D889" s="7"/>
      <c r="E889" s="8"/>
      <c r="F889" s="9"/>
      <c r="H889" s="6"/>
      <c r="I889" s="6"/>
      <c r="J889" s="6"/>
    </row>
    <row r="890" spans="4:10" x14ac:dyDescent="0.2">
      <c r="D890" s="7"/>
      <c r="E890" s="8"/>
      <c r="F890" s="9"/>
      <c r="H890" s="6"/>
      <c r="I890" s="6"/>
      <c r="J890" s="6"/>
    </row>
    <row r="891" spans="4:10" x14ac:dyDescent="0.2">
      <c r="D891" s="7"/>
      <c r="E891" s="8"/>
      <c r="F891" s="9"/>
      <c r="H891" s="6"/>
      <c r="I891" s="6"/>
      <c r="J891" s="6"/>
    </row>
    <row r="892" spans="4:10" x14ac:dyDescent="0.2">
      <c r="D892" s="7"/>
      <c r="E892" s="8"/>
      <c r="F892" s="9"/>
      <c r="H892" s="6"/>
      <c r="I892" s="6"/>
      <c r="J892" s="6"/>
    </row>
    <row r="893" spans="4:10" x14ac:dyDescent="0.2">
      <c r="D893" s="7"/>
      <c r="E893" s="8"/>
      <c r="F893" s="9"/>
      <c r="H893" s="6"/>
      <c r="I893" s="6"/>
      <c r="J893" s="6"/>
    </row>
    <row r="894" spans="4:10" x14ac:dyDescent="0.2">
      <c r="D894" s="7"/>
      <c r="E894" s="8"/>
      <c r="F894" s="9"/>
      <c r="H894" s="6"/>
      <c r="I894" s="6"/>
      <c r="J894" s="6"/>
    </row>
    <row r="895" spans="4:10" x14ac:dyDescent="0.2">
      <c r="D895" s="7"/>
      <c r="E895" s="8"/>
      <c r="F895" s="9"/>
      <c r="H895" s="6"/>
      <c r="I895" s="6"/>
      <c r="J895" s="6"/>
    </row>
    <row r="896" spans="4:10" x14ac:dyDescent="0.2">
      <c r="D896" s="7"/>
      <c r="E896" s="8"/>
      <c r="F896" s="9"/>
      <c r="H896" s="6"/>
      <c r="I896" s="6"/>
      <c r="J896" s="6"/>
    </row>
    <row r="897" spans="4:10" x14ac:dyDescent="0.2">
      <c r="D897" s="7"/>
      <c r="E897" s="8"/>
      <c r="F897" s="9"/>
      <c r="H897" s="6"/>
      <c r="I897" s="6"/>
      <c r="J897" s="6"/>
    </row>
    <row r="898" spans="4:10" x14ac:dyDescent="0.2">
      <c r="D898" s="7"/>
      <c r="E898" s="8"/>
      <c r="F898" s="9"/>
      <c r="H898" s="6"/>
      <c r="I898" s="6"/>
      <c r="J898" s="6"/>
    </row>
    <row r="899" spans="4:10" x14ac:dyDescent="0.2">
      <c r="D899" s="7"/>
      <c r="E899" s="8"/>
      <c r="F899" s="9"/>
      <c r="H899" s="6"/>
      <c r="I899" s="6"/>
      <c r="J899" s="6"/>
    </row>
    <row r="900" spans="4:10" x14ac:dyDescent="0.2">
      <c r="D900" s="7"/>
      <c r="E900" s="8"/>
      <c r="F900" s="9"/>
      <c r="H900" s="6"/>
      <c r="I900" s="6"/>
      <c r="J900" s="6"/>
    </row>
    <row r="901" spans="4:10" x14ac:dyDescent="0.2">
      <c r="D901" s="7"/>
      <c r="E901" s="8"/>
      <c r="F901" s="9"/>
      <c r="H901" s="6"/>
      <c r="I901" s="6"/>
      <c r="J901" s="6"/>
    </row>
    <row r="902" spans="4:10" x14ac:dyDescent="0.2">
      <c r="D902" s="7"/>
      <c r="E902" s="8"/>
      <c r="F902" s="9"/>
      <c r="H902" s="6"/>
      <c r="I902" s="6"/>
      <c r="J902" s="6"/>
    </row>
    <row r="903" spans="4:10" x14ac:dyDescent="0.2">
      <c r="D903" s="7"/>
      <c r="E903" s="8"/>
      <c r="F903" s="9"/>
      <c r="H903" s="6"/>
      <c r="I903" s="6"/>
      <c r="J903" s="6"/>
    </row>
    <row r="904" spans="4:10" x14ac:dyDescent="0.2">
      <c r="D904" s="7"/>
      <c r="E904" s="8"/>
      <c r="F904" s="9"/>
      <c r="H904" s="6"/>
      <c r="I904" s="6"/>
      <c r="J904" s="6"/>
    </row>
    <row r="905" spans="4:10" x14ac:dyDescent="0.2">
      <c r="D905" s="7"/>
      <c r="E905" s="8"/>
      <c r="F905" s="9"/>
      <c r="H905" s="6"/>
      <c r="I905" s="6"/>
      <c r="J905" s="6"/>
    </row>
    <row r="906" spans="4:10" x14ac:dyDescent="0.2">
      <c r="D906" s="7"/>
      <c r="E906" s="8"/>
      <c r="F906" s="9"/>
      <c r="H906" s="6"/>
      <c r="I906" s="6"/>
      <c r="J906" s="6"/>
    </row>
    <row r="907" spans="4:10" x14ac:dyDescent="0.2">
      <c r="D907" s="7"/>
      <c r="E907" s="8"/>
      <c r="F907" s="9"/>
      <c r="H907" s="6"/>
      <c r="I907" s="6"/>
      <c r="J907" s="6"/>
    </row>
    <row r="908" spans="4:10" x14ac:dyDescent="0.2">
      <c r="D908" s="7"/>
      <c r="E908" s="8"/>
      <c r="F908" s="9"/>
      <c r="H908" s="6"/>
      <c r="I908" s="6"/>
      <c r="J908" s="6"/>
    </row>
    <row r="909" spans="4:10" x14ac:dyDescent="0.2">
      <c r="D909" s="7"/>
      <c r="E909" s="8"/>
      <c r="F909" s="9"/>
      <c r="H909" s="6"/>
      <c r="I909" s="6"/>
      <c r="J909" s="6"/>
    </row>
    <row r="910" spans="4:10" x14ac:dyDescent="0.2">
      <c r="D910" s="7"/>
      <c r="E910" s="8"/>
      <c r="F910" s="9"/>
      <c r="H910" s="6"/>
      <c r="I910" s="6"/>
      <c r="J910" s="6"/>
    </row>
    <row r="911" spans="4:10" x14ac:dyDescent="0.2">
      <c r="D911" s="7"/>
      <c r="E911" s="8"/>
      <c r="F911" s="9"/>
      <c r="H911" s="6"/>
      <c r="I911" s="6"/>
      <c r="J911" s="6"/>
    </row>
    <row r="912" spans="4:10" x14ac:dyDescent="0.2">
      <c r="D912" s="7"/>
      <c r="E912" s="8"/>
      <c r="F912" s="9"/>
      <c r="H912" s="6"/>
      <c r="I912" s="6"/>
      <c r="J912" s="6"/>
    </row>
    <row r="913" spans="4:10" x14ac:dyDescent="0.2">
      <c r="D913" s="7"/>
      <c r="E913" s="8"/>
      <c r="F913" s="9"/>
      <c r="H913" s="6"/>
      <c r="I913" s="6"/>
      <c r="J913" s="6"/>
    </row>
    <row r="914" spans="4:10" x14ac:dyDescent="0.2">
      <c r="D914" s="7"/>
      <c r="E914" s="8"/>
      <c r="F914" s="9"/>
      <c r="H914" s="6"/>
      <c r="I914" s="6"/>
      <c r="J914" s="6"/>
    </row>
    <row r="915" spans="4:10" x14ac:dyDescent="0.2">
      <c r="D915" s="7"/>
      <c r="E915" s="8"/>
      <c r="F915" s="9"/>
      <c r="H915" s="6"/>
      <c r="I915" s="6"/>
      <c r="J915" s="6"/>
    </row>
    <row r="916" spans="4:10" x14ac:dyDescent="0.2">
      <c r="D916" s="7"/>
      <c r="E916" s="8"/>
      <c r="F916" s="9"/>
      <c r="H916" s="6"/>
      <c r="I916" s="6"/>
      <c r="J916" s="6"/>
    </row>
    <row r="917" spans="4:10" x14ac:dyDescent="0.2">
      <c r="D917" s="7"/>
      <c r="E917" s="8"/>
      <c r="F917" s="9"/>
      <c r="H917" s="6"/>
      <c r="I917" s="6"/>
      <c r="J917" s="6"/>
    </row>
    <row r="918" spans="4:10" x14ac:dyDescent="0.2">
      <c r="D918" s="7"/>
      <c r="E918" s="8"/>
      <c r="F918" s="9"/>
      <c r="H918" s="6"/>
      <c r="I918" s="6"/>
      <c r="J918" s="6"/>
    </row>
    <row r="919" spans="4:10" x14ac:dyDescent="0.2">
      <c r="D919" s="7"/>
      <c r="E919" s="8"/>
      <c r="F919" s="9"/>
      <c r="H919" s="6"/>
      <c r="I919" s="6"/>
      <c r="J919" s="6"/>
    </row>
    <row r="920" spans="4:10" x14ac:dyDescent="0.2">
      <c r="D920" s="7"/>
      <c r="E920" s="8"/>
      <c r="F920" s="9"/>
      <c r="H920" s="6"/>
      <c r="I920" s="6"/>
      <c r="J920" s="6"/>
    </row>
    <row r="921" spans="4:10" x14ac:dyDescent="0.2">
      <c r="D921" s="7"/>
      <c r="E921" s="8"/>
      <c r="F921" s="9"/>
      <c r="H921" s="6"/>
      <c r="I921" s="6"/>
      <c r="J921" s="6"/>
    </row>
    <row r="922" spans="4:10" x14ac:dyDescent="0.2">
      <c r="D922" s="7"/>
      <c r="E922" s="8"/>
      <c r="F922" s="9"/>
      <c r="H922" s="6"/>
      <c r="I922" s="6"/>
      <c r="J922" s="6"/>
    </row>
    <row r="923" spans="4:10" x14ac:dyDescent="0.2">
      <c r="D923" s="7"/>
      <c r="E923" s="8"/>
      <c r="F923" s="9"/>
      <c r="H923" s="6"/>
      <c r="I923" s="6"/>
      <c r="J923" s="6"/>
    </row>
    <row r="924" spans="4:10" x14ac:dyDescent="0.2">
      <c r="D924" s="7"/>
      <c r="E924" s="8"/>
      <c r="F924" s="9"/>
      <c r="H924" s="6"/>
      <c r="I924" s="6"/>
      <c r="J924" s="6"/>
    </row>
    <row r="925" spans="4:10" x14ac:dyDescent="0.2">
      <c r="D925" s="7"/>
      <c r="E925" s="8"/>
      <c r="F925" s="9"/>
      <c r="H925" s="6"/>
      <c r="I925" s="6"/>
      <c r="J925" s="6"/>
    </row>
    <row r="926" spans="4:10" x14ac:dyDescent="0.2">
      <c r="D926" s="7"/>
      <c r="E926" s="8"/>
      <c r="F926" s="9"/>
      <c r="H926" s="6"/>
      <c r="I926" s="6"/>
      <c r="J926" s="6"/>
    </row>
    <row r="927" spans="4:10" x14ac:dyDescent="0.2">
      <c r="D927" s="7"/>
      <c r="E927" s="8"/>
      <c r="F927" s="9"/>
      <c r="H927" s="6"/>
      <c r="I927" s="6"/>
      <c r="J927" s="6"/>
    </row>
    <row r="928" spans="4:10" x14ac:dyDescent="0.2">
      <c r="D928" s="7"/>
      <c r="E928" s="8"/>
      <c r="F928" s="9"/>
      <c r="H928" s="6"/>
      <c r="I928" s="6"/>
      <c r="J928" s="6"/>
    </row>
    <row r="929" spans="4:10" x14ac:dyDescent="0.2">
      <c r="D929" s="7"/>
      <c r="E929" s="8"/>
      <c r="F929" s="9"/>
      <c r="H929" s="6"/>
      <c r="I929" s="6"/>
      <c r="J929" s="6"/>
    </row>
    <row r="930" spans="4:10" x14ac:dyDescent="0.2">
      <c r="D930" s="7"/>
      <c r="E930" s="8"/>
      <c r="F930" s="9"/>
      <c r="H930" s="6"/>
      <c r="I930" s="6"/>
      <c r="J930" s="6"/>
    </row>
    <row r="931" spans="4:10" x14ac:dyDescent="0.2">
      <c r="D931" s="7"/>
      <c r="E931" s="8"/>
      <c r="F931" s="9"/>
      <c r="H931" s="6"/>
      <c r="I931" s="6"/>
      <c r="J931" s="6"/>
    </row>
    <row r="932" spans="4:10" x14ac:dyDescent="0.2">
      <c r="D932" s="7"/>
      <c r="E932" s="8"/>
      <c r="F932" s="9"/>
      <c r="H932" s="6"/>
      <c r="I932" s="6"/>
      <c r="J932" s="6"/>
    </row>
    <row r="933" spans="4:10" x14ac:dyDescent="0.2">
      <c r="D933" s="7"/>
      <c r="E933" s="8"/>
      <c r="F933" s="9"/>
      <c r="H933" s="6"/>
      <c r="I933" s="6"/>
      <c r="J933" s="6"/>
    </row>
    <row r="934" spans="4:10" x14ac:dyDescent="0.2">
      <c r="D934" s="7"/>
      <c r="E934" s="8"/>
      <c r="F934" s="9"/>
      <c r="H934" s="6"/>
      <c r="I934" s="6"/>
      <c r="J934" s="6"/>
    </row>
    <row r="935" spans="4:10" x14ac:dyDescent="0.2">
      <c r="D935" s="7"/>
      <c r="E935" s="8"/>
      <c r="F935" s="9"/>
      <c r="H935" s="6"/>
      <c r="I935" s="6"/>
      <c r="J935" s="6"/>
    </row>
    <row r="936" spans="4:10" x14ac:dyDescent="0.2">
      <c r="D936" s="7"/>
      <c r="E936" s="8"/>
      <c r="F936" s="9"/>
      <c r="H936" s="6"/>
      <c r="I936" s="6"/>
      <c r="J936" s="6"/>
    </row>
    <row r="937" spans="4:10" x14ac:dyDescent="0.2">
      <c r="D937" s="7"/>
      <c r="E937" s="8"/>
      <c r="F937" s="9"/>
      <c r="H937" s="6"/>
      <c r="I937" s="6"/>
      <c r="J937" s="6"/>
    </row>
    <row r="938" spans="4:10" x14ac:dyDescent="0.2">
      <c r="D938" s="7"/>
      <c r="E938" s="8"/>
      <c r="F938" s="9"/>
      <c r="H938" s="6"/>
      <c r="I938" s="6"/>
      <c r="J938" s="6"/>
    </row>
    <row r="939" spans="4:10" x14ac:dyDescent="0.2">
      <c r="D939" s="7"/>
      <c r="E939" s="8"/>
      <c r="F939" s="9"/>
      <c r="H939" s="6"/>
      <c r="I939" s="6"/>
      <c r="J939" s="6"/>
    </row>
    <row r="940" spans="4:10" x14ac:dyDescent="0.2">
      <c r="D940" s="7"/>
      <c r="E940" s="8"/>
      <c r="F940" s="9"/>
      <c r="H940" s="6"/>
      <c r="I940" s="6"/>
      <c r="J940" s="6"/>
    </row>
    <row r="941" spans="4:10" x14ac:dyDescent="0.2">
      <c r="D941" s="7"/>
      <c r="E941" s="8"/>
      <c r="F941" s="9"/>
      <c r="H941" s="6"/>
      <c r="I941" s="6"/>
      <c r="J941" s="6"/>
    </row>
    <row r="942" spans="4:10" x14ac:dyDescent="0.2">
      <c r="D942" s="7"/>
      <c r="E942" s="8"/>
      <c r="F942" s="9"/>
      <c r="H942" s="6"/>
      <c r="I942" s="6"/>
      <c r="J942" s="6"/>
    </row>
    <row r="943" spans="4:10" x14ac:dyDescent="0.2">
      <c r="D943" s="7"/>
      <c r="E943" s="8"/>
      <c r="F943" s="9"/>
      <c r="H943" s="6"/>
      <c r="I943" s="6"/>
      <c r="J943" s="6"/>
    </row>
    <row r="944" spans="4:10" x14ac:dyDescent="0.2">
      <c r="D944" s="7"/>
      <c r="E944" s="8"/>
      <c r="F944" s="9"/>
      <c r="H944" s="6"/>
      <c r="I944" s="6"/>
      <c r="J944" s="6"/>
    </row>
    <row r="945" spans="4:10" x14ac:dyDescent="0.2">
      <c r="D945" s="7"/>
      <c r="E945" s="8"/>
      <c r="F945" s="9"/>
      <c r="H945" s="6"/>
      <c r="I945" s="6"/>
      <c r="J945" s="6"/>
    </row>
    <row r="946" spans="4:10" x14ac:dyDescent="0.2">
      <c r="D946" s="7"/>
      <c r="E946" s="8"/>
      <c r="F946" s="9"/>
      <c r="H946" s="6"/>
      <c r="I946" s="6"/>
      <c r="J946" s="6"/>
    </row>
    <row r="947" spans="4:10" x14ac:dyDescent="0.2">
      <c r="D947" s="7"/>
      <c r="E947" s="8"/>
      <c r="F947" s="9"/>
      <c r="H947" s="6"/>
      <c r="I947" s="6"/>
      <c r="J947" s="6"/>
    </row>
    <row r="948" spans="4:10" x14ac:dyDescent="0.2">
      <c r="D948" s="7"/>
      <c r="E948" s="8"/>
      <c r="F948" s="9"/>
      <c r="H948" s="6"/>
      <c r="I948" s="6"/>
      <c r="J948" s="6"/>
    </row>
    <row r="949" spans="4:10" x14ac:dyDescent="0.2">
      <c r="D949" s="7"/>
      <c r="E949" s="8"/>
      <c r="F949" s="9"/>
      <c r="H949" s="6"/>
      <c r="I949" s="6"/>
      <c r="J949" s="6"/>
    </row>
    <row r="950" spans="4:10" x14ac:dyDescent="0.2">
      <c r="D950" s="7"/>
      <c r="E950" s="8"/>
      <c r="F950" s="9"/>
      <c r="H950" s="6"/>
      <c r="I950" s="6"/>
      <c r="J950" s="6"/>
    </row>
    <row r="951" spans="4:10" x14ac:dyDescent="0.2">
      <c r="D951" s="7"/>
      <c r="E951" s="8"/>
      <c r="F951" s="9"/>
      <c r="H951" s="6"/>
      <c r="I951" s="6"/>
      <c r="J951" s="6"/>
    </row>
    <row r="952" spans="4:10" x14ac:dyDescent="0.2">
      <c r="D952" s="7"/>
      <c r="E952" s="8"/>
      <c r="F952" s="9"/>
      <c r="H952" s="6"/>
      <c r="I952" s="6"/>
      <c r="J952" s="6"/>
    </row>
    <row r="953" spans="4:10" x14ac:dyDescent="0.2">
      <c r="D953" s="7"/>
      <c r="E953" s="8"/>
      <c r="F953" s="9"/>
      <c r="H953" s="6"/>
      <c r="I953" s="6"/>
      <c r="J953" s="6"/>
    </row>
    <row r="954" spans="4:10" x14ac:dyDescent="0.2">
      <c r="D954" s="7"/>
      <c r="E954" s="8"/>
      <c r="F954" s="9"/>
      <c r="H954" s="6"/>
      <c r="I954" s="6"/>
      <c r="J954" s="6"/>
    </row>
    <row r="955" spans="4:10" x14ac:dyDescent="0.2">
      <c r="D955" s="7"/>
      <c r="E955" s="8"/>
      <c r="F955" s="9"/>
      <c r="H955" s="6"/>
      <c r="I955" s="6"/>
      <c r="J955" s="6"/>
    </row>
    <row r="956" spans="4:10" x14ac:dyDescent="0.2">
      <c r="D956" s="7"/>
      <c r="E956" s="8"/>
      <c r="F956" s="9"/>
      <c r="H956" s="6"/>
      <c r="I956" s="6"/>
      <c r="J956" s="6"/>
    </row>
    <row r="957" spans="4:10" x14ac:dyDescent="0.2">
      <c r="D957" s="7"/>
      <c r="E957" s="8"/>
      <c r="F957" s="9"/>
      <c r="H957" s="6"/>
      <c r="I957" s="6"/>
      <c r="J957" s="6"/>
    </row>
    <row r="958" spans="4:10" x14ac:dyDescent="0.2">
      <c r="D958" s="7"/>
      <c r="E958" s="8"/>
      <c r="F958" s="9"/>
      <c r="H958" s="6"/>
      <c r="I958" s="6"/>
      <c r="J958" s="6"/>
    </row>
    <row r="959" spans="4:10" x14ac:dyDescent="0.2">
      <c r="D959" s="7"/>
      <c r="E959" s="8"/>
      <c r="F959" s="9"/>
      <c r="H959" s="6"/>
      <c r="I959" s="6"/>
      <c r="J959" s="6"/>
    </row>
    <row r="960" spans="4:10" x14ac:dyDescent="0.2">
      <c r="D960" s="7"/>
      <c r="E960" s="8"/>
      <c r="F960" s="9"/>
      <c r="H960" s="6"/>
      <c r="I960" s="6"/>
      <c r="J960" s="6"/>
    </row>
    <row r="961" spans="4:10" x14ac:dyDescent="0.2">
      <c r="D961" s="7"/>
      <c r="E961" s="8"/>
      <c r="F961" s="9"/>
      <c r="H961" s="6"/>
      <c r="I961" s="6"/>
      <c r="J961" s="6"/>
    </row>
    <row r="962" spans="4:10" x14ac:dyDescent="0.2">
      <c r="D962" s="7"/>
      <c r="E962" s="8"/>
      <c r="F962" s="9"/>
      <c r="H962" s="6"/>
      <c r="I962" s="6"/>
      <c r="J962" s="6"/>
    </row>
    <row r="963" spans="4:10" x14ac:dyDescent="0.2">
      <c r="D963" s="7"/>
      <c r="E963" s="8"/>
      <c r="F963" s="9"/>
      <c r="H963" s="6"/>
      <c r="I963" s="6"/>
      <c r="J963" s="6"/>
    </row>
    <row r="964" spans="4:10" x14ac:dyDescent="0.2">
      <c r="D964" s="7"/>
      <c r="E964" s="8"/>
      <c r="F964" s="9"/>
      <c r="H964" s="6"/>
      <c r="I964" s="6"/>
      <c r="J964" s="6"/>
    </row>
    <row r="965" spans="4:10" x14ac:dyDescent="0.2">
      <c r="D965" s="7"/>
      <c r="E965" s="8"/>
      <c r="F965" s="9"/>
      <c r="H965" s="6"/>
      <c r="I965" s="6"/>
      <c r="J965" s="6"/>
    </row>
    <row r="966" spans="4:10" x14ac:dyDescent="0.2">
      <c r="D966" s="7"/>
      <c r="E966" s="8"/>
      <c r="F966" s="9"/>
      <c r="H966" s="6"/>
      <c r="I966" s="6"/>
      <c r="J966" s="6"/>
    </row>
    <row r="967" spans="4:10" x14ac:dyDescent="0.2">
      <c r="D967" s="7"/>
      <c r="E967" s="8"/>
      <c r="F967" s="9"/>
      <c r="H967" s="6"/>
      <c r="I967" s="6"/>
      <c r="J967" s="6"/>
    </row>
    <row r="968" spans="4:10" x14ac:dyDescent="0.2">
      <c r="D968" s="7"/>
      <c r="E968" s="8"/>
      <c r="F968" s="9"/>
      <c r="H968" s="6"/>
      <c r="I968" s="6"/>
      <c r="J968" s="6"/>
    </row>
    <row r="969" spans="4:10" x14ac:dyDescent="0.2">
      <c r="D969" s="7"/>
      <c r="E969" s="8"/>
      <c r="F969" s="9"/>
      <c r="H969" s="6"/>
      <c r="I969" s="6"/>
      <c r="J969" s="6"/>
    </row>
    <row r="970" spans="4:10" x14ac:dyDescent="0.2">
      <c r="D970" s="7"/>
      <c r="E970" s="8"/>
      <c r="F970" s="9"/>
      <c r="H970" s="6"/>
      <c r="I970" s="6"/>
      <c r="J970" s="6"/>
    </row>
    <row r="971" spans="4:10" x14ac:dyDescent="0.2">
      <c r="D971" s="7"/>
      <c r="E971" s="8"/>
      <c r="F971" s="9"/>
      <c r="H971" s="6"/>
      <c r="I971" s="6"/>
      <c r="J971" s="6"/>
    </row>
    <row r="972" spans="4:10" x14ac:dyDescent="0.2">
      <c r="D972" s="7"/>
      <c r="E972" s="8"/>
      <c r="F972" s="9"/>
      <c r="H972" s="6"/>
      <c r="I972" s="6"/>
      <c r="J972" s="6"/>
    </row>
    <row r="973" spans="4:10" x14ac:dyDescent="0.2">
      <c r="D973" s="7"/>
      <c r="E973" s="8"/>
      <c r="F973" s="9"/>
      <c r="H973" s="6"/>
      <c r="I973" s="6"/>
      <c r="J973" s="6"/>
    </row>
    <row r="974" spans="4:10" x14ac:dyDescent="0.2">
      <c r="D974" s="7"/>
      <c r="E974" s="8"/>
      <c r="F974" s="9"/>
      <c r="H974" s="6"/>
      <c r="I974" s="6"/>
      <c r="J974" s="6"/>
    </row>
    <row r="975" spans="4:10" x14ac:dyDescent="0.2">
      <c r="D975" s="7"/>
      <c r="E975" s="8"/>
      <c r="F975" s="9"/>
      <c r="H975" s="6"/>
      <c r="I975" s="6"/>
      <c r="J975" s="6"/>
    </row>
    <row r="976" spans="4:10" x14ac:dyDescent="0.2">
      <c r="D976" s="7"/>
      <c r="E976" s="8"/>
      <c r="F976" s="9"/>
      <c r="H976" s="6"/>
      <c r="I976" s="6"/>
      <c r="J976" s="6"/>
    </row>
    <row r="977" spans="4:10" x14ac:dyDescent="0.2">
      <c r="D977" s="7"/>
      <c r="E977" s="8"/>
      <c r="F977" s="9"/>
      <c r="H977" s="6"/>
      <c r="I977" s="6"/>
      <c r="J977" s="6"/>
    </row>
    <row r="978" spans="4:10" x14ac:dyDescent="0.2">
      <c r="D978" s="7"/>
      <c r="E978" s="8"/>
      <c r="F978" s="9"/>
      <c r="H978" s="6"/>
      <c r="I978" s="6"/>
      <c r="J978" s="6"/>
    </row>
    <row r="979" spans="4:10" x14ac:dyDescent="0.2">
      <c r="D979" s="7"/>
      <c r="E979" s="8"/>
      <c r="F979" s="9"/>
      <c r="H979" s="6"/>
      <c r="I979" s="6"/>
      <c r="J979" s="6"/>
    </row>
    <row r="980" spans="4:10" x14ac:dyDescent="0.2">
      <c r="D980" s="7"/>
      <c r="E980" s="8"/>
      <c r="F980" s="9"/>
      <c r="H980" s="6"/>
      <c r="I980" s="6"/>
      <c r="J980" s="6"/>
    </row>
    <row r="981" spans="4:10" x14ac:dyDescent="0.2">
      <c r="D981" s="7"/>
      <c r="E981" s="8"/>
      <c r="F981" s="9"/>
      <c r="H981" s="6"/>
      <c r="I981" s="6"/>
      <c r="J981" s="6"/>
    </row>
    <row r="982" spans="4:10" x14ac:dyDescent="0.2">
      <c r="D982" s="7"/>
      <c r="E982" s="8"/>
      <c r="F982" s="9"/>
      <c r="H982" s="6"/>
      <c r="I982" s="6"/>
      <c r="J982" s="6"/>
    </row>
    <row r="983" spans="4:10" x14ac:dyDescent="0.2">
      <c r="D983" s="7"/>
      <c r="E983" s="8"/>
      <c r="F983" s="9"/>
      <c r="H983" s="6"/>
      <c r="I983" s="6"/>
      <c r="J983" s="6"/>
    </row>
    <row r="984" spans="4:10" x14ac:dyDescent="0.2">
      <c r="D984" s="7"/>
      <c r="E984" s="8"/>
      <c r="F984" s="9"/>
      <c r="H984" s="6"/>
      <c r="I984" s="6"/>
      <c r="J984" s="6"/>
    </row>
    <row r="985" spans="4:10" x14ac:dyDescent="0.2">
      <c r="D985" s="7"/>
      <c r="E985" s="8"/>
      <c r="F985" s="9"/>
      <c r="H985" s="6"/>
      <c r="I985" s="6"/>
      <c r="J985" s="6"/>
    </row>
    <row r="986" spans="4:10" x14ac:dyDescent="0.2">
      <c r="D986" s="7"/>
      <c r="E986" s="8"/>
      <c r="F986" s="9"/>
      <c r="H986" s="6"/>
      <c r="I986" s="6"/>
      <c r="J986" s="6"/>
    </row>
    <row r="987" spans="4:10" x14ac:dyDescent="0.2">
      <c r="D987" s="7"/>
      <c r="E987" s="8"/>
      <c r="F987" s="9"/>
      <c r="H987" s="6"/>
      <c r="I987" s="6"/>
      <c r="J987" s="6"/>
    </row>
    <row r="988" spans="4:10" x14ac:dyDescent="0.2">
      <c r="D988" s="7"/>
      <c r="E988" s="8"/>
      <c r="F988" s="9"/>
      <c r="H988" s="6"/>
      <c r="I988" s="6"/>
      <c r="J988" s="6"/>
    </row>
    <row r="989" spans="4:10" x14ac:dyDescent="0.2">
      <c r="D989" s="7"/>
      <c r="E989" s="8"/>
      <c r="F989" s="4"/>
      <c r="H989" s="6"/>
      <c r="I989" s="6"/>
      <c r="J989" s="6"/>
    </row>
  </sheetData>
  <conditionalFormatting sqref="U2:U192">
    <cfRule type="notContainsBlanks" dxfId="0" priority="1">
      <formula>LEN(TRIM(U2))&gt;0</formula>
    </cfRule>
  </conditionalFormatting>
  <dataValidations count="3">
    <dataValidation type="list" allowBlank="1" showErrorMessage="1" sqref="U2:U192" xr:uid="{00000000-0002-0000-0000-000001000000}">
      <formula1>"yes,no"</formula1>
    </dataValidation>
    <dataValidation type="list" allowBlank="1" showErrorMessage="1" sqref="M1:M191" xr:uid="{96F6B912-1D11-487E-AB0A-CB05D7E23B0A}">
      <formula1>"Circumvention,Direct,From above,Orienting,Movement,Catch"</formula1>
    </dataValidation>
    <dataValidation type="list" allowBlank="1" showErrorMessage="1" sqref="L2:L1048576" xr:uid="{3C18B0FF-6A71-412B-8F9E-343D34D6788F}">
      <formula1>"Circumvention,Direct,From above,Orienting,Movement,Catch,Pursuit"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Noah Heier</cp:lastModifiedBy>
  <dcterms:modified xsi:type="dcterms:W3CDTF">2025-09-23T09:01:24Z</dcterms:modified>
</cp:coreProperties>
</file>